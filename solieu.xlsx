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789E5239-3975-477D-A35E-E3C767F4ABF2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</sheets>
  <definedNames>
    <definedName name="_xlnm._FilterDatabase" localSheetId="0" hidden="1">'DANH SÁCH NỢ'!$A$1:$M$33</definedName>
    <definedName name="_xlnm._FilterDatabase" localSheetId="2" hidden="1">'THỐNG KÊ NẠP'!$A$1:$U$41</definedName>
    <definedName name="_xlnm._FilterDatabase" localSheetId="1" hidden="1">'THONG KE NAP '!$A$1:$D$102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3" l="1"/>
  <c r="I15" i="3"/>
  <c r="F16" i="3"/>
  <c r="I16" i="3"/>
  <c r="F17" i="3"/>
  <c r="I17" i="3"/>
  <c r="F18" i="3"/>
  <c r="I18" i="3"/>
  <c r="F19" i="3"/>
  <c r="I19" i="3"/>
  <c r="F20" i="3"/>
  <c r="I20" i="3"/>
  <c r="F21" i="3"/>
  <c r="I21" i="3"/>
  <c r="F22" i="3"/>
  <c r="I22" i="3"/>
  <c r="F33" i="3"/>
  <c r="E36" i="3"/>
  <c r="I14" i="3"/>
  <c r="F14" i="3" s="1"/>
  <c r="I13" i="3"/>
  <c r="F13" i="3" s="1"/>
  <c r="E6" i="3"/>
  <c r="E7" i="3"/>
  <c r="D12" i="3"/>
  <c r="I12" i="3" s="1"/>
  <c r="F12" i="3" s="1"/>
  <c r="I10" i="3"/>
  <c r="F10" i="3" s="1"/>
  <c r="I11" i="3"/>
  <c r="F11" i="3" s="1"/>
  <c r="E9" i="3"/>
  <c r="I9" i="3"/>
  <c r="F9" i="3" s="1"/>
  <c r="I8" i="3"/>
  <c r="F8" i="3" s="1"/>
  <c r="I6" i="3"/>
  <c r="D7" i="3"/>
  <c r="I7" i="3" s="1"/>
  <c r="I5" i="3"/>
  <c r="F5" i="3" s="1"/>
  <c r="I4" i="3"/>
  <c r="F4" i="3" s="1"/>
  <c r="D3" i="3"/>
  <c r="I3" i="3" s="1"/>
  <c r="E3" i="3"/>
  <c r="F32" i="3" s="1"/>
  <c r="U43" i="4"/>
  <c r="T43" i="4"/>
  <c r="R26" i="4"/>
  <c r="R25" i="4"/>
  <c r="R19" i="4"/>
  <c r="R8" i="4"/>
  <c r="G20" i="4"/>
  <c r="G43" i="4" s="1"/>
  <c r="F10" i="4"/>
  <c r="E16" i="4"/>
  <c r="C43" i="4"/>
  <c r="I2" i="3"/>
  <c r="F2" i="3" s="1"/>
  <c r="D43" i="4"/>
  <c r="Q43" i="4"/>
  <c r="K43" i="4"/>
  <c r="S43" i="4"/>
  <c r="J43" i="4"/>
  <c r="E43" i="4"/>
  <c r="P43" i="4"/>
  <c r="F43" i="4"/>
  <c r="H43" i="4"/>
  <c r="I43" i="4"/>
  <c r="L43" i="4"/>
  <c r="M43" i="4"/>
  <c r="N43" i="4"/>
  <c r="O43" i="4"/>
  <c r="B43" i="4"/>
  <c r="F34" i="3" l="1"/>
  <c r="F31" i="3"/>
  <c r="F6" i="3"/>
  <c r="F7" i="3"/>
  <c r="R43" i="4"/>
  <c r="F3" i="3"/>
</calcChain>
</file>

<file path=xl/sharedStrings.xml><?xml version="1.0" encoding="utf-8"?>
<sst xmlns="http://schemas.openxmlformats.org/spreadsheetml/2006/main" count="433" uniqueCount="67">
  <si>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</si>
  <si>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</si>
  <si>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</si>
  <si>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</si>
  <si>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</si>
  <si>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</si>
  <si>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</si>
  <si>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</si>
  <si>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</si>
  <si>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</si>
  <si>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</si>
  <si>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</si>
  <si>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</si>
  <si>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</si>
  <si>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</si>
  <si>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</si>
  <si>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</si>
  <si>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</si>
  <si>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</si>
  <si>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</si>
  <si>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</si>
  <si>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</si>
  <si>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</si>
  <si>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</si>
  <si>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</si>
  <si>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</si>
  <si>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</si>
  <si>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</si>
  <si>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</si>
  <si>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</si>
  <si>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</si>
  <si>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</si>
  <si>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</si>
  <si>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</si>
  <si>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</si>
  <si>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</si>
  <si>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</si>
  <si>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</si>
  <si>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</si>
  <si>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</si>
  <si>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Nguyễn Hoàng Như Hảo</t>
  </si>
  <si>
    <t xml:space="preserve"> </t>
  </si>
  <si>
    <t>Lê Ngọc Như Ý</t>
  </si>
  <si>
    <t>Mua Robux</t>
  </si>
  <si>
    <t>Lê Hoàng Thiên Ân</t>
  </si>
  <si>
    <t>Bùi Khánh Duy</t>
  </si>
  <si>
    <t>Ngày</t>
  </si>
  <si>
    <t>Số tiền</t>
  </si>
  <si>
    <t>Nguyễn Phước Dũng Tùng (NaOH)</t>
  </si>
  <si>
    <t>Nạp điện thoại</t>
  </si>
  <si>
    <t>Nạp FC Mobile</t>
  </si>
  <si>
    <t>Nạp Robux</t>
  </si>
  <si>
    <t>Mua thẻ Garena</t>
  </si>
  <si>
    <t>Huỳnh Gua Phú</t>
  </si>
  <si>
    <t>Mua thẻ Mobi</t>
  </si>
  <si>
    <t>Bùi Bích Ngọc</t>
  </si>
  <si>
    <t>Nguyễn Đăng Khoa (9a3)</t>
  </si>
  <si>
    <t>Nạp sò</t>
  </si>
  <si>
    <t>Phụ thu đổi thẻ Zing</t>
  </si>
  <si>
    <t>Hồ Nhã Lan</t>
  </si>
  <si>
    <t>Nợ</t>
  </si>
  <si>
    <t>Trương Gia Hân</t>
  </si>
  <si>
    <t>Nợ ba</t>
  </si>
  <si>
    <t>Đỗ Mai Linh</t>
  </si>
  <si>
    <t>Mua thẻ Zing + Garena</t>
  </si>
  <si>
    <t>Phan Trà Phương Trang</t>
  </si>
  <si>
    <t>Chênh lệch: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</si>
</sst>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40"/>
  <sheetViews>
    <sheetView tabSelected="1" topLeftCell="A10" zoomScale="85" zoomScaleNormal="85" workbookViewId="0">
      <selection activeCell="L30" sqref="L30"/>
    </sheetView>
  </sheetViews>
  <sheetFormatPr defaultRowHeight="15" x14ac:dyDescent="0.25"/>
  <cols>
    <col min="1" max="1" width="3.5703125" style="25" customWidth="1"/>
    <col min="2" max="2" width="31.140625" style="25" bestFit="1" customWidth="1"/>
    <col min="3" max="3" width="20.7109375" style="25" bestFit="1" customWidth="1"/>
    <col min="4" max="5" width="12.140625" style="25" customWidth="1"/>
    <col min="6" max="6" width="12.7109375" style="25" bestFit="1" customWidth="1"/>
    <col min="7" max="7" width="12.140625" style="25" customWidth="1"/>
    <col min="8" max="8" width="17.28515625" style="25" bestFit="1" customWidth="1"/>
    <col min="9" max="9" width="20.7109375" style="25" bestFit="1" customWidth="1"/>
    <col min="10" max="10" width="12.7109375" style="25" bestFit="1" customWidth="1"/>
    <col min="11" max="11" width="13.28515625" style="25" bestFit="1" customWidth="1"/>
    <col min="12" max="12" width="13.28515625" style="25" customWidth="1"/>
    <col min="13" max="13" width="15.7109375" style="25" customWidth="1"/>
    <col min="14" max="14" width="9.5703125" style="25" customWidth="1"/>
    <col min="15" max="15" width="10.42578125" style="25" bestFit="1" customWidth="1"/>
    <col min="16" max="16" width="10.5703125" style="25" bestFit="1" customWidth="1"/>
    <col min="17" max="16384" width="9.140625" style="25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7" t="s">
        <v>18</v>
      </c>
      <c r="C2" s="15" t="s">
        <v>16</v>
      </c>
      <c r="D2" s="32">
        <v>350000</v>
      </c>
      <c r="E2" s="32">
        <v>0</v>
      </c>
      <c r="F2" s="32">
        <f>(D2+I2)-E2</f>
        <v>472500</v>
      </c>
      <c r="G2" s="32">
        <v>0</v>
      </c>
      <c r="H2" s="33">
        <v>0.35</v>
      </c>
      <c r="I2" s="32">
        <f>(D2*H2)</f>
        <v>122499.99999999999</v>
      </c>
      <c r="J2" s="16">
        <v>45984</v>
      </c>
      <c r="K2" s="16">
        <v>46046</v>
      </c>
      <c r="L2" s="16"/>
      <c r="M2" s="15" t="s">
        <v>14</v>
      </c>
      <c r="Q2" s="6"/>
    </row>
    <row r="3" spans="1:17" x14ac:dyDescent="0.25">
      <c r="A3" s="1">
        <v>2</v>
      </c>
      <c r="B3" s="26" t="s">
        <v>23</v>
      </c>
      <c r="C3" s="7" t="s">
        <v>24</v>
      </c>
      <c r="D3" s="30">
        <f>20000+10000</f>
        <v>30000</v>
      </c>
      <c r="E3" s="30">
        <f>10000+5000</f>
        <v>15000</v>
      </c>
      <c r="F3" s="30">
        <f t="shared" ref="F3" si="0">(D3+I3)-E3</f>
        <v>15000</v>
      </c>
      <c r="G3" s="30">
        <v>0</v>
      </c>
      <c r="H3" s="31">
        <v>0</v>
      </c>
      <c r="I3" s="30">
        <f t="shared" ref="I3" si="1">D3*H3</f>
        <v>0</v>
      </c>
      <c r="J3" s="8">
        <v>45985</v>
      </c>
      <c r="K3" s="8"/>
      <c r="L3" s="8"/>
      <c r="M3" s="7" t="s">
        <v>14</v>
      </c>
      <c r="Q3" s="6"/>
    </row>
    <row r="4" spans="1:17" x14ac:dyDescent="0.25">
      <c r="A4" s="1">
        <v>3</v>
      </c>
      <c r="B4" s="24" t="s">
        <v>59</v>
      </c>
      <c r="C4" s="1" t="s">
        <v>60</v>
      </c>
      <c r="D4" s="28">
        <v>2000</v>
      </c>
      <c r="E4" s="28">
        <v>0</v>
      </c>
      <c r="F4" s="28">
        <f t="shared" ref="F4" si="2">(D4+I4)-E4</f>
        <v>2200</v>
      </c>
      <c r="G4" s="28">
        <v>0</v>
      </c>
      <c r="H4" s="29">
        <v>0.1</v>
      </c>
      <c r="I4" s="28">
        <f t="shared" ref="I4" si="3">D4*H4</f>
        <v>200</v>
      </c>
      <c r="J4" s="4">
        <v>46022</v>
      </c>
      <c r="K4" s="4">
        <v>46049</v>
      </c>
      <c r="L4" s="4"/>
      <c r="M4" s="1" t="s">
        <v>14</v>
      </c>
    </row>
    <row r="5" spans="1:17" x14ac:dyDescent="0.25">
      <c r="A5" s="1">
        <v>4</v>
      </c>
      <c r="B5" s="24" t="s">
        <v>19</v>
      </c>
      <c r="C5" s="1" t="s">
        <v>16</v>
      </c>
      <c r="D5" s="28">
        <v>50000</v>
      </c>
      <c r="E5" s="28">
        <v>0</v>
      </c>
      <c r="F5" s="28">
        <f t="shared" ref="F5" si="4">(D5+I5)-E5</f>
        <v>50000</v>
      </c>
      <c r="G5" s="28">
        <v>0</v>
      </c>
      <c r="H5" s="29">
        <v>0</v>
      </c>
      <c r="I5" s="28">
        <f t="shared" ref="I5" si="5">D5*H5</f>
        <v>0</v>
      </c>
      <c r="J5" s="4">
        <v>46037</v>
      </c>
      <c r="K5" s="4">
        <v>46043</v>
      </c>
      <c r="L5" s="4"/>
      <c r="M5" s="1" t="s">
        <v>14</v>
      </c>
    </row>
    <row r="6" spans="1:17" x14ac:dyDescent="0.25">
      <c r="A6" s="1">
        <v>5</v>
      </c>
      <c r="B6" s="24" t="s">
        <v>20</v>
      </c>
      <c r="C6" s="1" t="s">
        <v>3</v>
      </c>
      <c r="D6" s="28">
        <v>120000</v>
      </c>
      <c r="E6" s="28">
        <f>38000+50000+15000</f>
        <v>103000</v>
      </c>
      <c r="F6" s="28">
        <f t="shared" ref="F6:F7" si="6">(D6+I6)-E6</f>
        <v>17000</v>
      </c>
      <c r="G6" s="28">
        <v>0</v>
      </c>
      <c r="H6" s="29">
        <v>0</v>
      </c>
      <c r="I6" s="28">
        <f t="shared" ref="I6:I7" si="7">D6*H6</f>
        <v>0</v>
      </c>
      <c r="J6" s="4">
        <v>46037</v>
      </c>
      <c r="K6" s="4">
        <v>46043</v>
      </c>
      <c r="L6" s="4"/>
      <c r="M6" s="1" t="s">
        <v>14</v>
      </c>
    </row>
    <row r="7" spans="1:17" x14ac:dyDescent="0.25">
      <c r="A7" s="1">
        <v>6</v>
      </c>
      <c r="B7" s="24" t="s">
        <v>8</v>
      </c>
      <c r="C7" s="1" t="s">
        <v>3</v>
      </c>
      <c r="D7" s="28">
        <f>100000+20000+10000</f>
        <v>130000</v>
      </c>
      <c r="E7" s="28">
        <f>10000+5000+5000+10000</f>
        <v>30000</v>
      </c>
      <c r="F7" s="28">
        <f t="shared" si="6"/>
        <v>100000</v>
      </c>
      <c r="G7" s="28">
        <v>0</v>
      </c>
      <c r="H7" s="29">
        <v>0</v>
      </c>
      <c r="I7" s="28">
        <f t="shared" si="7"/>
        <v>0</v>
      </c>
      <c r="J7" s="4">
        <v>46037</v>
      </c>
      <c r="K7" s="4">
        <v>46043</v>
      </c>
      <c r="L7" s="4"/>
      <c r="M7" s="1" t="s">
        <v>14</v>
      </c>
    </row>
    <row r="8" spans="1:17" x14ac:dyDescent="0.25">
      <c r="A8" s="1">
        <v>11</v>
      </c>
      <c r="B8" s="24" t="s">
        <v>22</v>
      </c>
      <c r="C8" s="1" t="s">
        <v>57</v>
      </c>
      <c r="D8" s="28">
        <v>100000</v>
      </c>
      <c r="E8" s="28">
        <v>0</v>
      </c>
      <c r="F8" s="28">
        <f t="shared" ref="F8" si="8">(D8+I8)-E8</f>
        <v>100000</v>
      </c>
      <c r="G8" s="28">
        <v>0</v>
      </c>
      <c r="H8" s="29">
        <v>0</v>
      </c>
      <c r="I8" s="28">
        <f t="shared" ref="I8" si="9">D8*H8</f>
        <v>0</v>
      </c>
      <c r="J8" s="4">
        <v>46041</v>
      </c>
      <c r="K8" s="4">
        <v>46054</v>
      </c>
      <c r="L8" s="4"/>
      <c r="M8" s="1" t="s">
        <v>14</v>
      </c>
    </row>
    <row r="9" spans="1:17" x14ac:dyDescent="0.25">
      <c r="A9" s="1">
        <v>15</v>
      </c>
      <c r="B9" s="24" t="s">
        <v>22</v>
      </c>
      <c r="C9" s="1" t="s">
        <v>52</v>
      </c>
      <c r="D9" s="28">
        <v>100000</v>
      </c>
      <c r="E9" s="28">
        <f>92000</f>
        <v>92000</v>
      </c>
      <c r="F9" s="28">
        <f t="shared" ref="F9" si="10">(D9+I9)-E9</f>
        <v>8000</v>
      </c>
      <c r="G9" s="28">
        <v>0</v>
      </c>
      <c r="H9" s="29">
        <v>0</v>
      </c>
      <c r="I9" s="28">
        <f t="shared" ref="I9" si="11">D9*H9</f>
        <v>0</v>
      </c>
      <c r="J9" s="4">
        <v>46041</v>
      </c>
      <c r="K9" s="4">
        <v>46047</v>
      </c>
      <c r="L9" s="4"/>
      <c r="M9" s="1" t="s">
        <v>14</v>
      </c>
    </row>
    <row r="10" spans="1:17" x14ac:dyDescent="0.25">
      <c r="A10" s="1">
        <v>16</v>
      </c>
      <c r="B10" s="24" t="s">
        <v>20</v>
      </c>
      <c r="C10" s="1" t="s">
        <v>24</v>
      </c>
      <c r="D10" s="28">
        <v>20000</v>
      </c>
      <c r="E10" s="28">
        <v>0</v>
      </c>
      <c r="F10" s="28">
        <f t="shared" ref="F10:F11" si="12">(D10+I10)-E10</f>
        <v>20000</v>
      </c>
      <c r="G10" s="28">
        <v>0</v>
      </c>
      <c r="H10" s="29">
        <v>0</v>
      </c>
      <c r="I10" s="28">
        <f t="shared" ref="I10:I11" si="13">D10*H10</f>
        <v>0</v>
      </c>
      <c r="J10" s="4">
        <v>46041</v>
      </c>
      <c r="K10" s="4">
        <v>46047</v>
      </c>
      <c r="L10" s="4"/>
      <c r="M10" s="1" t="s">
        <v>14</v>
      </c>
    </row>
    <row r="11" spans="1:17" x14ac:dyDescent="0.25">
      <c r="A11" s="1">
        <v>18</v>
      </c>
      <c r="B11" s="24" t="s">
        <v>22</v>
      </c>
      <c r="C11" s="1" t="s">
        <v>52</v>
      </c>
      <c r="D11" s="28">
        <v>20000</v>
      </c>
      <c r="E11" s="28">
        <v>0</v>
      </c>
      <c r="F11" s="28">
        <f t="shared" si="12"/>
        <v>20000</v>
      </c>
      <c r="G11" s="28">
        <v>0</v>
      </c>
      <c r="H11" s="29">
        <v>0</v>
      </c>
      <c r="I11" s="28">
        <f t="shared" si="13"/>
        <v>0</v>
      </c>
      <c r="J11" s="4">
        <v>46041</v>
      </c>
      <c r="K11" s="4">
        <v>46047</v>
      </c>
      <c r="L11" s="4"/>
      <c r="M11" s="1" t="s">
        <v>14</v>
      </c>
    </row>
    <row r="12" spans="1:17" x14ac:dyDescent="0.25">
      <c r="A12" s="1">
        <v>19</v>
      </c>
      <c r="B12" s="24" t="s">
        <v>22</v>
      </c>
      <c r="C12" s="1" t="s">
        <v>64</v>
      </c>
      <c r="D12" s="28">
        <f>50000+20000+20000</f>
        <v>90000</v>
      </c>
      <c r="E12" s="28">
        <v>0</v>
      </c>
      <c r="F12" s="28">
        <f t="shared" ref="F12" si="14">(D12+I12)-E12</f>
        <v>90000</v>
      </c>
      <c r="G12" s="28">
        <v>0</v>
      </c>
      <c r="H12" s="29">
        <v>0</v>
      </c>
      <c r="I12" s="28">
        <f t="shared" ref="I12" si="15">D12*H12</f>
        <v>0</v>
      </c>
      <c r="J12" s="4">
        <v>46042</v>
      </c>
      <c r="K12" s="4">
        <v>46048</v>
      </c>
      <c r="L12" s="4"/>
      <c r="M12" s="1" t="s">
        <v>14</v>
      </c>
    </row>
    <row r="13" spans="1:17" x14ac:dyDescent="0.25">
      <c r="A13" s="1">
        <v>20</v>
      </c>
      <c r="B13" s="39" t="s">
        <v>20</v>
      </c>
      <c r="C13" s="1" t="s">
        <v>3</v>
      </c>
      <c r="D13" s="28">
        <v>100000</v>
      </c>
      <c r="E13" s="28">
        <v>0</v>
      </c>
      <c r="F13" s="28">
        <f t="shared" ref="F13" si="16">(D13+I13)-E13</f>
        <v>100000</v>
      </c>
      <c r="G13" s="28">
        <v>0</v>
      </c>
      <c r="H13" s="29">
        <v>0</v>
      </c>
      <c r="I13" s="28">
        <f t="shared" ref="I13" si="17">D13*H13</f>
        <v>0</v>
      </c>
      <c r="J13" s="4">
        <v>46042</v>
      </c>
      <c r="K13" s="4">
        <v>46048</v>
      </c>
      <c r="L13" s="4"/>
      <c r="M13" s="1" t="s">
        <v>14</v>
      </c>
    </row>
    <row r="14" spans="1:17" x14ac:dyDescent="0.25">
      <c r="A14" s="1">
        <v>21</v>
      </c>
      <c r="B14" s="24" t="s">
        <v>26</v>
      </c>
      <c r="C14" s="1" t="s">
        <v>30</v>
      </c>
      <c r="D14" s="28">
        <v>5000</v>
      </c>
      <c r="E14" s="28">
        <v>0</v>
      </c>
      <c r="F14" s="28">
        <f t="shared" ref="F14" si="18">(D14+I14)-E14</f>
        <v>5000</v>
      </c>
      <c r="G14" s="28">
        <v>0</v>
      </c>
      <c r="H14" s="29">
        <v>0</v>
      </c>
      <c r="I14" s="28">
        <f t="shared" ref="I14" si="19">D14*H14</f>
        <v>0</v>
      </c>
      <c r="J14" s="4">
        <v>46043</v>
      </c>
      <c r="K14" s="4">
        <v>46049</v>
      </c>
      <c r="L14" s="4"/>
      <c r="M14" s="1" t="s">
        <v>14</v>
      </c>
    </row>
    <row r="15" spans="1:17" x14ac:dyDescent="0.25">
      <c r="A15" s="1">
        <v>22</v>
      </c>
      <c r="B15" s="24" t="s">
        <v>39</v>
      </c>
      <c r="C15" s="1" t="s">
        <v>30</v>
      </c>
      <c r="D15" s="28">
        <v>150000</v>
      </c>
      <c r="E15" s="28">
        <v>0</v>
      </c>
      <c r="F15" s="28">
        <f t="shared" ref="F15:F22" si="20">(D15+I15)-E15</f>
        <v>150000</v>
      </c>
      <c r="G15" s="28">
        <v>0</v>
      </c>
      <c r="H15" s="29">
        <v>0</v>
      </c>
      <c r="I15" s="28">
        <f t="shared" ref="I15:I22" si="21">D15*H15</f>
        <v>0</v>
      </c>
      <c r="J15" s="4">
        <v>46043</v>
      </c>
      <c r="K15" s="4">
        <v>46049</v>
      </c>
      <c r="L15" s="4"/>
      <c r="M15" s="1" t="s">
        <v>14</v>
      </c>
    </row>
    <row r="16" spans="1:17" x14ac:dyDescent="0.25">
      <c r="A16" s="1">
        <v>23</v>
      </c>
      <c r="B16" s="24" t="s">
        <v>39</v>
      </c>
      <c r="C16" s="1" t="s">
        <v>30</v>
      </c>
      <c r="D16" s="28">
        <v>150000</v>
      </c>
      <c r="E16" s="28">
        <v>0</v>
      </c>
      <c r="F16" s="28">
        <f t="shared" si="20"/>
        <v>150000</v>
      </c>
      <c r="G16" s="28">
        <v>0</v>
      </c>
      <c r="H16" s="29">
        <v>0</v>
      </c>
      <c r="I16" s="28">
        <f t="shared" si="21"/>
        <v>0</v>
      </c>
      <c r="J16" s="4">
        <v>46043</v>
      </c>
      <c r="K16" s="4">
        <v>46049</v>
      </c>
      <c r="L16" s="4"/>
      <c r="M16" s="1" t="s">
        <v>14</v>
      </c>
    </row>
    <row r="17" spans="1:13" x14ac:dyDescent="0.25">
      <c r="A17" s="1">
        <v>24</v>
      </c>
      <c r="B17" s="24" t="s">
        <v>25</v>
      </c>
      <c r="C17" s="1" t="s">
        <v>57</v>
      </c>
      <c r="D17" s="28">
        <v>190000</v>
      </c>
      <c r="E17" s="28">
        <v>0</v>
      </c>
      <c r="F17" s="28">
        <f t="shared" si="20"/>
        <v>190000</v>
      </c>
      <c r="G17" s="28">
        <v>0</v>
      </c>
      <c r="H17" s="29">
        <v>0</v>
      </c>
      <c r="I17" s="28">
        <f t="shared" si="21"/>
        <v>0</v>
      </c>
      <c r="J17" s="4">
        <v>46043</v>
      </c>
      <c r="K17" s="4">
        <v>46049</v>
      </c>
      <c r="L17" s="4"/>
      <c r="M17" s="1" t="s">
        <v>14</v>
      </c>
    </row>
    <row r="18" spans="1:13" x14ac:dyDescent="0.25">
      <c r="A18" s="1">
        <v>25</v>
      </c>
      <c r="B18" s="24" t="s">
        <v>42</v>
      </c>
      <c r="C18" s="1" t="s">
        <v>3</v>
      </c>
      <c r="D18" s="28">
        <v>50000</v>
      </c>
      <c r="E18" s="28">
        <v>0</v>
      </c>
      <c r="F18" s="28">
        <f t="shared" si="20"/>
        <v>50000</v>
      </c>
      <c r="G18" s="28">
        <v>0</v>
      </c>
      <c r="H18" s="29">
        <v>0</v>
      </c>
      <c r="I18" s="28">
        <f t="shared" si="21"/>
        <v>0</v>
      </c>
      <c r="J18" s="4">
        <v>46043</v>
      </c>
      <c r="K18" s="4">
        <v>46049</v>
      </c>
      <c r="L18" s="4"/>
      <c r="M18" s="1" t="s">
        <v>14</v>
      </c>
    </row>
    <row r="19" spans="1:13" x14ac:dyDescent="0.25">
      <c r="A19" s="1">
        <v>26</v>
      </c>
      <c r="B19" s="24" t="s">
        <v>65</v>
      </c>
      <c r="C19" s="1" t="s">
        <v>16</v>
      </c>
      <c r="D19" s="28">
        <v>50000</v>
      </c>
      <c r="E19" s="28">
        <v>0</v>
      </c>
      <c r="F19" s="28">
        <f t="shared" si="20"/>
        <v>50000</v>
      </c>
      <c r="G19" s="28">
        <v>0</v>
      </c>
      <c r="H19" s="29">
        <v>0</v>
      </c>
      <c r="I19" s="28">
        <f t="shared" si="21"/>
        <v>0</v>
      </c>
      <c r="J19" s="4">
        <v>46043</v>
      </c>
      <c r="K19" s="4">
        <v>46049</v>
      </c>
      <c r="L19" s="4"/>
      <c r="M19" s="1" t="s">
        <v>14</v>
      </c>
    </row>
    <row r="20" spans="1:13" x14ac:dyDescent="0.25">
      <c r="A20" s="1">
        <v>27</v>
      </c>
      <c r="B20" s="24" t="s">
        <v>26</v>
      </c>
      <c r="C20" s="1" t="s">
        <v>30</v>
      </c>
      <c r="D20" s="28">
        <v>500000</v>
      </c>
      <c r="E20" s="28">
        <v>0</v>
      </c>
      <c r="F20" s="28">
        <f t="shared" si="20"/>
        <v>500000</v>
      </c>
      <c r="G20" s="28">
        <v>0</v>
      </c>
      <c r="H20" s="29">
        <v>0</v>
      </c>
      <c r="I20" s="28">
        <f t="shared" si="21"/>
        <v>0</v>
      </c>
      <c r="J20" s="4">
        <v>46043</v>
      </c>
      <c r="K20" s="4">
        <v>46049</v>
      </c>
      <c r="L20" s="4"/>
      <c r="M20" s="1" t="s">
        <v>14</v>
      </c>
    </row>
    <row r="21" spans="1:13" x14ac:dyDescent="0.25">
      <c r="A21" s="1">
        <v>28</v>
      </c>
      <c r="B21" s="24" t="s">
        <v>26</v>
      </c>
      <c r="C21" s="1" t="s">
        <v>30</v>
      </c>
      <c r="D21" s="28">
        <v>10000</v>
      </c>
      <c r="E21" s="28">
        <v>0</v>
      </c>
      <c r="F21" s="28">
        <f t="shared" si="20"/>
        <v>10000</v>
      </c>
      <c r="G21" s="28">
        <v>0</v>
      </c>
      <c r="H21" s="29">
        <v>0</v>
      </c>
      <c r="I21" s="28">
        <f t="shared" si="21"/>
        <v>0</v>
      </c>
      <c r="J21" s="4">
        <v>46043</v>
      </c>
      <c r="K21" s="4">
        <v>46049</v>
      </c>
      <c r="L21" s="4"/>
      <c r="M21" s="1" t="s">
        <v>14</v>
      </c>
    </row>
    <row r="22" spans="1:13" x14ac:dyDescent="0.25">
      <c r="A22" s="1">
        <v>29</v>
      </c>
      <c r="B22" s="24" t="s">
        <v>26</v>
      </c>
      <c r="C22" s="1" t="s">
        <v>24</v>
      </c>
      <c r="D22" s="28">
        <v>10000</v>
      </c>
      <c r="E22" s="28">
        <v>0</v>
      </c>
      <c r="F22" s="28">
        <f t="shared" si="20"/>
        <v>10000</v>
      </c>
      <c r="G22" s="28">
        <v>0</v>
      </c>
      <c r="H22" s="29">
        <v>0</v>
      </c>
      <c r="I22" s="28">
        <f t="shared" si="21"/>
        <v>0</v>
      </c>
      <c r="J22" s="4">
        <v>46043</v>
      </c>
      <c r="K22" s="4">
        <v>46049</v>
      </c>
      <c r="L22" s="4"/>
      <c r="M22" s="1" t="s">
        <v>14</v>
      </c>
    </row>
    <row r="23" spans="1:13" x14ac:dyDescent="0.25">
      <c r="A23" s="1">
        <v>30</v>
      </c>
      <c r="B23" s="24"/>
      <c r="C23" s="1"/>
      <c r="D23" s="28"/>
      <c r="E23" s="28"/>
      <c r="F23" s="28"/>
      <c r="G23" s="28"/>
      <c r="H23" s="29"/>
      <c r="I23" s="28"/>
      <c r="J23" s="4"/>
      <c r="K23" s="4"/>
      <c r="L23" s="4"/>
      <c r="M23" s="1"/>
    </row>
    <row r="24" spans="1:13" x14ac:dyDescent="0.25">
      <c r="A24" s="1">
        <v>31</v>
      </c>
      <c r="B24" s="24"/>
      <c r="C24" s="1"/>
      <c r="D24" s="28"/>
      <c r="E24" s="28"/>
      <c r="F24" s="28"/>
      <c r="G24" s="28"/>
      <c r="H24" s="29"/>
      <c r="I24" s="28"/>
      <c r="J24" s="4"/>
      <c r="K24" s="4"/>
      <c r="L24" s="4"/>
      <c r="M24" s="1"/>
    </row>
    <row r="25" spans="1:13" x14ac:dyDescent="0.25">
      <c r="A25" s="1">
        <v>32</v>
      </c>
      <c r="B25" s="24"/>
      <c r="C25" s="1"/>
      <c r="D25" s="28"/>
      <c r="E25" s="28"/>
      <c r="F25" s="28"/>
      <c r="G25" s="28"/>
      <c r="H25" s="29"/>
      <c r="I25" s="28"/>
      <c r="J25" s="4"/>
      <c r="K25" s="4"/>
      <c r="L25" s="4"/>
      <c r="M25" s="1"/>
    </row>
    <row r="26" spans="1:13" x14ac:dyDescent="0.25">
      <c r="A26" s="1">
        <v>33</v>
      </c>
      <c r="B26" s="24"/>
      <c r="C26" s="1"/>
      <c r="D26" s="28"/>
      <c r="E26" s="28"/>
      <c r="F26" s="28"/>
      <c r="G26" s="28"/>
      <c r="H26" s="29"/>
      <c r="I26" s="28"/>
      <c r="J26" s="4"/>
      <c r="K26" s="4"/>
      <c r="L26" s="4"/>
      <c r="M26" s="1"/>
    </row>
    <row r="27" spans="1:13" x14ac:dyDescent="0.25">
      <c r="A27" s="1">
        <v>34</v>
      </c>
      <c r="B27" s="24"/>
      <c r="C27" s="1"/>
      <c r="D27" s="28"/>
      <c r="E27" s="28"/>
      <c r="F27" s="28"/>
      <c r="G27" s="28"/>
      <c r="H27" s="29"/>
      <c r="I27" s="28"/>
      <c r="J27" s="4"/>
      <c r="K27" s="4"/>
      <c r="L27" s="4"/>
      <c r="M27" s="1"/>
    </row>
    <row r="28" spans="1:13" x14ac:dyDescent="0.25">
      <c r="A28" s="1">
        <v>35</v>
      </c>
      <c r="B28" s="24"/>
      <c r="C28" s="1"/>
      <c r="D28" s="28"/>
      <c r="E28" s="28"/>
      <c r="F28" s="28"/>
      <c r="G28" s="28"/>
      <c r="H28" s="29"/>
      <c r="I28" s="28"/>
      <c r="J28" s="4"/>
      <c r="K28" s="4"/>
      <c r="L28" s="4"/>
      <c r="M28" s="1"/>
    </row>
    <row r="29" spans="1:13" x14ac:dyDescent="0.25">
      <c r="A29" s="1">
        <v>36</v>
      </c>
      <c r="B29" s="24"/>
      <c r="C29" s="1"/>
      <c r="D29" s="37"/>
      <c r="E29" s="37"/>
      <c r="F29" s="37"/>
      <c r="G29" s="37"/>
      <c r="H29" s="24"/>
      <c r="I29" s="37"/>
      <c r="J29" s="24"/>
      <c r="K29" s="38"/>
      <c r="L29" s="38"/>
      <c r="M29" s="24"/>
    </row>
    <row r="30" spans="1:13" ht="24" x14ac:dyDescent="0.25">
      <c r="B30" s="34" t="s">
        <v>33</v>
      </c>
      <c r="C30" s="34"/>
      <c r="D30" s="41" t="s">
        <v>34</v>
      </c>
      <c r="E30" s="41"/>
      <c r="F30" s="41"/>
      <c r="G30" s="41"/>
    </row>
    <row r="31" spans="1:13" x14ac:dyDescent="0.25">
      <c r="D31" s="40" t="s">
        <v>28</v>
      </c>
      <c r="E31" s="40"/>
      <c r="F31" s="35">
        <f>SUM(D2:D29)</f>
        <v>2227000</v>
      </c>
      <c r="G31" s="36"/>
      <c r="J31" s="36"/>
    </row>
    <row r="32" spans="1:13" x14ac:dyDescent="0.25">
      <c r="D32" s="40" t="s">
        <v>29</v>
      </c>
      <c r="E32" s="40"/>
      <c r="F32" s="35">
        <f>SUM(E2:E29)</f>
        <v>240000</v>
      </c>
      <c r="G32" s="36"/>
      <c r="M32" s="25" t="s">
        <v>41</v>
      </c>
    </row>
    <row r="33" spans="4:7" x14ac:dyDescent="0.25">
      <c r="D33" s="40" t="s">
        <v>66</v>
      </c>
      <c r="E33" s="40"/>
      <c r="F33" s="35">
        <f>F32-F31</f>
        <v>-1987000</v>
      </c>
      <c r="G33" s="36"/>
    </row>
    <row r="34" spans="4:7" x14ac:dyDescent="0.25">
      <c r="D34" s="40" t="s">
        <v>27</v>
      </c>
      <c r="E34" s="40"/>
      <c r="F34" s="35">
        <f>SUM(F2:F29)</f>
        <v>2109700</v>
      </c>
    </row>
    <row r="35" spans="4:7" x14ac:dyDescent="0.25">
      <c r="G35" s="36"/>
    </row>
    <row r="36" spans="4:7" x14ac:dyDescent="0.25">
      <c r="D36" s="25" t="s">
        <v>62</v>
      </c>
      <c r="E36" s="28">
        <f>100000+300000+100000+100000+100000+50000+40000+25000+100000+530000+250000+500000</f>
        <v>2195000</v>
      </c>
      <c r="F36" s="36"/>
      <c r="G36" s="36"/>
    </row>
    <row r="37" spans="4:7" x14ac:dyDescent="0.25">
      <c r="F37" s="36"/>
      <c r="G37" s="36"/>
    </row>
    <row r="38" spans="4:7" x14ac:dyDescent="0.25">
      <c r="F38" s="36"/>
    </row>
    <row r="39" spans="4:7" x14ac:dyDescent="0.25">
      <c r="F39" s="36"/>
    </row>
    <row r="40" spans="4:7" x14ac:dyDescent="0.25">
      <c r="F40" s="36"/>
    </row>
  </sheetData>
  <autoFilter ref="A1:M33" xr:uid="{B426C2E0-1FB2-4505-A56E-E149D9D304FF}"/>
  <mergeCells count="5">
    <mergeCell ref="D31:E31"/>
    <mergeCell ref="D32:E32"/>
    <mergeCell ref="D34:E34"/>
    <mergeCell ref="D30:G30"/>
    <mergeCell ref="D33:E33"/>
  </mergeCells>
  <phoneticPr fontId="1" type="noConversion"/>
  <hyperlinks>
    <hyperlink ref="D30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211"/>
  <sheetViews>
    <sheetView topLeftCell="A186" workbookViewId="0">
      <selection activeCell="B199" sqref="B199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3.28515625" style="23" bestFit="1" customWidth="1"/>
  </cols>
  <sheetData>
    <row r="1" spans="1:4" ht="18.75" x14ac:dyDescent="0.25">
      <c r="A1" s="18" t="s">
        <v>46</v>
      </c>
      <c r="B1" s="18" t="s">
        <v>1</v>
      </c>
      <c r="C1" s="18" t="s">
        <v>47</v>
      </c>
      <c r="D1" s="18" t="s">
        <v>2</v>
      </c>
    </row>
    <row r="2" spans="1:4" ht="18.75" x14ac:dyDescent="0.25">
      <c r="A2" s="21">
        <v>45979</v>
      </c>
      <c r="B2" s="19" t="s">
        <v>8</v>
      </c>
      <c r="C2" s="20">
        <v>100000</v>
      </c>
      <c r="D2" s="22" t="s">
        <v>3</v>
      </c>
    </row>
    <row r="3" spans="1:4" ht="18.75" x14ac:dyDescent="0.25">
      <c r="A3" s="21">
        <v>45979</v>
      </c>
      <c r="B3" s="19" t="s">
        <v>25</v>
      </c>
      <c r="C3" s="20">
        <v>100000</v>
      </c>
      <c r="D3" s="22"/>
    </row>
    <row r="4" spans="1:4" ht="18.75" x14ac:dyDescent="0.25">
      <c r="A4" s="21">
        <v>45981</v>
      </c>
      <c r="B4" s="19" t="s">
        <v>18</v>
      </c>
      <c r="C4" s="20">
        <v>20000</v>
      </c>
      <c r="D4" s="22"/>
    </row>
    <row r="5" spans="1:4" ht="18.75" x14ac:dyDescent="0.25">
      <c r="A5" s="21">
        <v>45982</v>
      </c>
      <c r="B5" s="19" t="s">
        <v>21</v>
      </c>
      <c r="C5" s="20">
        <v>50000</v>
      </c>
      <c r="D5" s="22"/>
    </row>
    <row r="6" spans="1:4" ht="18.75" x14ac:dyDescent="0.25">
      <c r="A6" s="21">
        <v>45982</v>
      </c>
      <c r="B6" s="19" t="s">
        <v>19</v>
      </c>
      <c r="C6" s="20">
        <v>300000</v>
      </c>
      <c r="D6" s="22"/>
    </row>
    <row r="7" spans="1:4" ht="18.75" x14ac:dyDescent="0.25">
      <c r="A7" s="21">
        <v>45982</v>
      </c>
      <c r="B7" s="19" t="s">
        <v>22</v>
      </c>
      <c r="C7" s="20">
        <v>5000</v>
      </c>
      <c r="D7" s="22"/>
    </row>
    <row r="8" spans="1:4" ht="18.75" x14ac:dyDescent="0.25">
      <c r="A8" s="21">
        <v>45982</v>
      </c>
      <c r="B8" s="19" t="s">
        <v>17</v>
      </c>
      <c r="C8" s="20">
        <v>230000</v>
      </c>
      <c r="D8" s="22"/>
    </row>
    <row r="9" spans="1:4" ht="18.75" x14ac:dyDescent="0.25">
      <c r="A9" s="21">
        <v>45982</v>
      </c>
      <c r="B9" s="19" t="s">
        <v>20</v>
      </c>
      <c r="C9" s="20">
        <v>100000</v>
      </c>
      <c r="D9" s="22"/>
    </row>
    <row r="10" spans="1:4" ht="18.75" x14ac:dyDescent="0.25">
      <c r="A10" s="21">
        <v>45982</v>
      </c>
      <c r="B10" s="19" t="s">
        <v>15</v>
      </c>
      <c r="C10" s="20">
        <v>75000</v>
      </c>
      <c r="D10" s="22"/>
    </row>
    <row r="11" spans="1:4" ht="18.75" x14ac:dyDescent="0.25">
      <c r="A11" s="21">
        <v>45983</v>
      </c>
      <c r="B11" s="19" t="s">
        <v>23</v>
      </c>
      <c r="C11" s="20">
        <v>250000</v>
      </c>
      <c r="D11" s="22"/>
    </row>
    <row r="12" spans="1:4" ht="18.75" x14ac:dyDescent="0.25">
      <c r="A12" s="21">
        <v>45984</v>
      </c>
      <c r="B12" s="19" t="s">
        <v>18</v>
      </c>
      <c r="C12" s="20">
        <v>350000</v>
      </c>
      <c r="D12" s="22"/>
    </row>
    <row r="13" spans="1:4" ht="18.75" x14ac:dyDescent="0.25">
      <c r="A13" s="21">
        <v>45985</v>
      </c>
      <c r="B13" s="19" t="s">
        <v>8</v>
      </c>
      <c r="C13" s="20">
        <v>20000</v>
      </c>
      <c r="D13" s="22"/>
    </row>
    <row r="14" spans="1:4" ht="18.75" x14ac:dyDescent="0.25">
      <c r="A14" s="21">
        <v>45985</v>
      </c>
      <c r="B14" s="19" t="s">
        <v>17</v>
      </c>
      <c r="C14" s="20">
        <v>130000</v>
      </c>
      <c r="D14" s="22"/>
    </row>
    <row r="15" spans="1:4" ht="18.75" x14ac:dyDescent="0.25">
      <c r="A15" s="21">
        <v>45985</v>
      </c>
      <c r="B15" s="19" t="s">
        <v>26</v>
      </c>
      <c r="C15" s="20">
        <v>200000</v>
      </c>
      <c r="D15" s="22"/>
    </row>
    <row r="16" spans="1:4" ht="18.75" x14ac:dyDescent="0.25">
      <c r="A16" s="21">
        <v>45987</v>
      </c>
      <c r="B16" s="19" t="s">
        <v>21</v>
      </c>
      <c r="C16" s="20">
        <v>20000</v>
      </c>
      <c r="D16" s="22"/>
    </row>
    <row r="17" spans="1:4" ht="18.75" x14ac:dyDescent="0.25">
      <c r="A17" s="21">
        <v>45987</v>
      </c>
      <c r="B17" s="19" t="s">
        <v>26</v>
      </c>
      <c r="C17" s="20">
        <v>70000</v>
      </c>
      <c r="D17" s="22"/>
    </row>
    <row r="18" spans="1:4" ht="18.75" x14ac:dyDescent="0.25">
      <c r="A18" s="21">
        <v>45987</v>
      </c>
      <c r="B18" s="19" t="s">
        <v>15</v>
      </c>
      <c r="C18" s="20">
        <v>50000</v>
      </c>
      <c r="D18" s="22"/>
    </row>
    <row r="19" spans="1:4" ht="18.75" x14ac:dyDescent="0.25">
      <c r="A19" s="21">
        <v>45987</v>
      </c>
      <c r="B19" s="19" t="s">
        <v>20</v>
      </c>
      <c r="C19" s="20">
        <v>100000</v>
      </c>
      <c r="D19" s="22"/>
    </row>
    <row r="20" spans="1:4" ht="18.75" x14ac:dyDescent="0.25">
      <c r="A20" s="21">
        <v>45987</v>
      </c>
      <c r="B20" s="19" t="s">
        <v>8</v>
      </c>
      <c r="C20" s="20">
        <v>200000</v>
      </c>
      <c r="D20" s="22"/>
    </row>
    <row r="21" spans="1:4" ht="18.75" x14ac:dyDescent="0.25">
      <c r="A21" s="21">
        <v>45987</v>
      </c>
      <c r="B21" s="19" t="s">
        <v>17</v>
      </c>
      <c r="C21" s="20">
        <v>180000</v>
      </c>
      <c r="D21" s="22"/>
    </row>
    <row r="22" spans="1:4" ht="18.75" x14ac:dyDescent="0.25">
      <c r="A22" s="21">
        <v>45988</v>
      </c>
      <c r="B22" s="19" t="s">
        <v>20</v>
      </c>
      <c r="C22" s="20">
        <v>20000</v>
      </c>
      <c r="D22" s="22"/>
    </row>
    <row r="23" spans="1:4" ht="18.75" x14ac:dyDescent="0.25">
      <c r="A23" s="21">
        <v>45989</v>
      </c>
      <c r="B23" s="19" t="s">
        <v>17</v>
      </c>
      <c r="C23" s="20">
        <v>60000</v>
      </c>
      <c r="D23" s="22"/>
    </row>
    <row r="24" spans="1:4" ht="18.75" x14ac:dyDescent="0.25">
      <c r="A24" s="21">
        <v>45990</v>
      </c>
      <c r="B24" s="19" t="s">
        <v>25</v>
      </c>
      <c r="C24" s="20">
        <v>175000</v>
      </c>
      <c r="D24" s="22"/>
    </row>
    <row r="25" spans="1:4" ht="18.75" x14ac:dyDescent="0.25">
      <c r="A25" s="21">
        <v>45990</v>
      </c>
      <c r="B25" s="19" t="s">
        <v>39</v>
      </c>
      <c r="C25" s="20">
        <v>200000</v>
      </c>
      <c r="D25" s="22"/>
    </row>
    <row r="26" spans="1:4" ht="18.75" x14ac:dyDescent="0.25">
      <c r="A26" s="21">
        <v>45991</v>
      </c>
      <c r="B26" s="19" t="s">
        <v>20</v>
      </c>
      <c r="C26" s="20">
        <v>100000</v>
      </c>
      <c r="D26" s="22"/>
    </row>
    <row r="27" spans="1:4" ht="18.75" x14ac:dyDescent="0.25">
      <c r="A27" s="21">
        <v>45991</v>
      </c>
      <c r="B27" s="19" t="s">
        <v>26</v>
      </c>
      <c r="C27" s="20">
        <v>270000</v>
      </c>
      <c r="D27" s="22"/>
    </row>
    <row r="28" spans="1:4" ht="18.75" x14ac:dyDescent="0.25">
      <c r="A28" s="21">
        <v>45992</v>
      </c>
      <c r="B28" s="19" t="s">
        <v>17</v>
      </c>
      <c r="C28" s="20">
        <v>5000</v>
      </c>
      <c r="D28" s="22"/>
    </row>
    <row r="29" spans="1:4" ht="18.75" x14ac:dyDescent="0.25">
      <c r="A29" s="21">
        <v>45992</v>
      </c>
      <c r="B29" s="19" t="s">
        <v>26</v>
      </c>
      <c r="C29" s="20">
        <v>5000</v>
      </c>
      <c r="D29" s="22"/>
    </row>
    <row r="30" spans="1:4" ht="18.75" x14ac:dyDescent="0.25">
      <c r="A30" s="21">
        <v>45992</v>
      </c>
      <c r="B30" s="19" t="s">
        <v>22</v>
      </c>
      <c r="C30" s="20">
        <v>5000</v>
      </c>
      <c r="D30" s="22"/>
    </row>
    <row r="31" spans="1:4" ht="18.75" x14ac:dyDescent="0.25">
      <c r="A31" s="21">
        <v>45993</v>
      </c>
      <c r="B31" s="19" t="s">
        <v>21</v>
      </c>
      <c r="C31" s="20">
        <v>5000</v>
      </c>
      <c r="D31" s="22"/>
    </row>
    <row r="32" spans="1:4" ht="18.75" x14ac:dyDescent="0.25">
      <c r="A32" s="21">
        <v>45993</v>
      </c>
      <c r="B32" s="19" t="s">
        <v>36</v>
      </c>
      <c r="C32" s="20">
        <v>5000</v>
      </c>
      <c r="D32" s="22"/>
    </row>
    <row r="33" spans="1:4" ht="18.75" x14ac:dyDescent="0.25">
      <c r="A33" s="21">
        <v>45993</v>
      </c>
      <c r="B33" s="19" t="s">
        <v>35</v>
      </c>
      <c r="C33" s="20">
        <v>5000</v>
      </c>
      <c r="D33" s="22"/>
    </row>
    <row r="34" spans="1:4" ht="18.75" x14ac:dyDescent="0.25">
      <c r="A34" s="21">
        <v>45993</v>
      </c>
      <c r="B34" s="19" t="s">
        <v>17</v>
      </c>
      <c r="C34" s="20">
        <v>40000</v>
      </c>
      <c r="D34" s="22"/>
    </row>
    <row r="35" spans="1:4" ht="18.75" x14ac:dyDescent="0.25">
      <c r="A35" s="21">
        <v>45993</v>
      </c>
      <c r="B35" s="19" t="s">
        <v>20</v>
      </c>
      <c r="C35" s="20">
        <v>20000</v>
      </c>
      <c r="D35" s="22"/>
    </row>
    <row r="36" spans="1:4" ht="18.75" x14ac:dyDescent="0.25">
      <c r="A36" s="21">
        <v>45993</v>
      </c>
      <c r="B36" s="19" t="s">
        <v>15</v>
      </c>
      <c r="C36" s="20">
        <v>80000</v>
      </c>
      <c r="D36" s="22"/>
    </row>
    <row r="37" spans="1:4" ht="18.75" x14ac:dyDescent="0.25">
      <c r="A37" s="21">
        <v>45994</v>
      </c>
      <c r="B37" s="19" t="s">
        <v>20</v>
      </c>
      <c r="C37" s="20">
        <v>100000</v>
      </c>
      <c r="D37" s="22"/>
    </row>
    <row r="38" spans="1:4" ht="18.75" x14ac:dyDescent="0.25">
      <c r="A38" s="21">
        <v>45994</v>
      </c>
      <c r="B38" s="19" t="s">
        <v>15</v>
      </c>
      <c r="C38" s="20">
        <v>50000</v>
      </c>
      <c r="D38" s="22"/>
    </row>
    <row r="39" spans="1:4" ht="18.75" x14ac:dyDescent="0.25">
      <c r="A39" s="21">
        <v>45994</v>
      </c>
      <c r="B39" s="19" t="s">
        <v>21</v>
      </c>
      <c r="C39" s="20">
        <v>40000</v>
      </c>
      <c r="D39" s="22"/>
    </row>
    <row r="40" spans="1:4" ht="18.75" x14ac:dyDescent="0.25">
      <c r="A40" s="21">
        <v>45995</v>
      </c>
      <c r="B40" s="19" t="s">
        <v>20</v>
      </c>
      <c r="C40" s="20">
        <v>100000</v>
      </c>
      <c r="D40" s="22"/>
    </row>
    <row r="41" spans="1:4" ht="18.75" x14ac:dyDescent="0.25">
      <c r="A41" s="21">
        <v>45995</v>
      </c>
      <c r="B41" s="19" t="s">
        <v>17</v>
      </c>
      <c r="C41" s="20">
        <v>50000</v>
      </c>
      <c r="D41" s="22"/>
    </row>
    <row r="42" spans="1:4" ht="18.75" x14ac:dyDescent="0.25">
      <c r="A42" s="21">
        <v>45996</v>
      </c>
      <c r="B42" s="19" t="s">
        <v>48</v>
      </c>
      <c r="C42" s="20">
        <v>540000</v>
      </c>
      <c r="D42" s="22"/>
    </row>
    <row r="43" spans="1:4" ht="18.75" x14ac:dyDescent="0.25">
      <c r="A43" s="21">
        <v>45996</v>
      </c>
      <c r="B43" s="19" t="s">
        <v>37</v>
      </c>
      <c r="C43" s="20">
        <v>5000</v>
      </c>
      <c r="D43" s="22"/>
    </row>
    <row r="44" spans="1:4" ht="18.75" x14ac:dyDescent="0.25">
      <c r="A44" s="21">
        <v>45996</v>
      </c>
      <c r="B44" s="19" t="s">
        <v>26</v>
      </c>
      <c r="C44" s="20">
        <v>500000</v>
      </c>
      <c r="D44" s="22"/>
    </row>
    <row r="45" spans="1:4" ht="18.75" x14ac:dyDescent="0.25">
      <c r="A45" s="21">
        <v>45997</v>
      </c>
      <c r="B45" s="19" t="s">
        <v>8</v>
      </c>
      <c r="C45" s="20">
        <v>100000</v>
      </c>
      <c r="D45" s="22"/>
    </row>
    <row r="46" spans="1:4" ht="18.75" x14ac:dyDescent="0.25">
      <c r="A46" s="21">
        <v>45997</v>
      </c>
      <c r="B46" s="19" t="s">
        <v>40</v>
      </c>
      <c r="C46" s="20">
        <v>200000</v>
      </c>
      <c r="D46" s="22"/>
    </row>
    <row r="47" spans="1:4" ht="18.75" x14ac:dyDescent="0.25">
      <c r="A47" s="21">
        <v>45997</v>
      </c>
      <c r="B47" s="19" t="s">
        <v>25</v>
      </c>
      <c r="C47" s="20">
        <v>145000</v>
      </c>
      <c r="D47" s="22"/>
    </row>
    <row r="48" spans="1:4" ht="18.75" x14ac:dyDescent="0.25">
      <c r="A48" s="21">
        <v>45997</v>
      </c>
      <c r="B48" s="19" t="s">
        <v>18</v>
      </c>
      <c r="C48" s="20">
        <v>10000</v>
      </c>
      <c r="D48" s="22"/>
    </row>
    <row r="49" spans="1:4" ht="18.75" x14ac:dyDescent="0.25">
      <c r="A49" s="21">
        <v>45998</v>
      </c>
      <c r="B49" s="19" t="s">
        <v>48</v>
      </c>
      <c r="C49" s="20">
        <v>100000</v>
      </c>
      <c r="D49" s="22"/>
    </row>
    <row r="50" spans="1:4" ht="18.75" x14ac:dyDescent="0.25">
      <c r="A50" s="21">
        <v>45999</v>
      </c>
      <c r="B50" s="19" t="s">
        <v>40</v>
      </c>
      <c r="C50" s="20">
        <v>200000</v>
      </c>
      <c r="D50" s="22"/>
    </row>
    <row r="51" spans="1:4" ht="18.75" x14ac:dyDescent="0.25">
      <c r="A51" s="21">
        <v>45999</v>
      </c>
      <c r="B51" s="19" t="s">
        <v>20</v>
      </c>
      <c r="C51" s="20">
        <v>100000</v>
      </c>
      <c r="D51" s="22"/>
    </row>
    <row r="52" spans="1:4" ht="18.75" x14ac:dyDescent="0.25">
      <c r="A52" s="21">
        <v>45999</v>
      </c>
      <c r="B52" s="19" t="s">
        <v>8</v>
      </c>
      <c r="C52" s="20">
        <v>120000</v>
      </c>
      <c r="D52" s="22"/>
    </row>
    <row r="53" spans="1:4" ht="18.75" x14ac:dyDescent="0.25">
      <c r="A53" s="21">
        <v>46000</v>
      </c>
      <c r="B53" s="19" t="s">
        <v>19</v>
      </c>
      <c r="C53" s="20">
        <v>200000</v>
      </c>
      <c r="D53" s="22"/>
    </row>
    <row r="54" spans="1:4" ht="18.75" x14ac:dyDescent="0.25">
      <c r="A54" s="21">
        <v>46000</v>
      </c>
      <c r="B54" s="19" t="s">
        <v>26</v>
      </c>
      <c r="C54" s="20">
        <v>105000</v>
      </c>
      <c r="D54" s="22"/>
    </row>
    <row r="55" spans="1:4" ht="18.75" x14ac:dyDescent="0.25">
      <c r="A55" s="21">
        <v>46001</v>
      </c>
      <c r="B55" s="19" t="s">
        <v>8</v>
      </c>
      <c r="C55" s="20">
        <v>100000</v>
      </c>
      <c r="D55" s="22"/>
    </row>
    <row r="56" spans="1:4" ht="18.75" x14ac:dyDescent="0.25">
      <c r="A56" s="21">
        <v>46001</v>
      </c>
      <c r="B56" s="19" t="s">
        <v>42</v>
      </c>
      <c r="C56" s="20">
        <v>50000</v>
      </c>
      <c r="D56" s="22"/>
    </row>
    <row r="57" spans="1:4" ht="18.75" x14ac:dyDescent="0.25">
      <c r="A57" s="21">
        <v>46001</v>
      </c>
      <c r="B57" s="19" t="s">
        <v>20</v>
      </c>
      <c r="C57" s="20">
        <v>150000</v>
      </c>
      <c r="D57" s="22"/>
    </row>
    <row r="58" spans="1:4" ht="18.75" x14ac:dyDescent="0.25">
      <c r="A58" s="21">
        <v>46001</v>
      </c>
      <c r="B58" s="19" t="s">
        <v>26</v>
      </c>
      <c r="C58" s="20">
        <v>20000</v>
      </c>
      <c r="D58" s="22"/>
    </row>
    <row r="59" spans="1:4" ht="18.75" x14ac:dyDescent="0.25">
      <c r="A59" s="21">
        <v>46002</v>
      </c>
      <c r="B59" s="19" t="s">
        <v>19</v>
      </c>
      <c r="C59" s="20">
        <v>100000</v>
      </c>
      <c r="D59" s="22"/>
    </row>
    <row r="60" spans="1:4" ht="18.75" x14ac:dyDescent="0.25">
      <c r="A60" s="21">
        <v>46002</v>
      </c>
      <c r="B60" s="19" t="s">
        <v>26</v>
      </c>
      <c r="C60" s="20">
        <v>120000</v>
      </c>
      <c r="D60" s="22"/>
    </row>
    <row r="61" spans="1:4" ht="18.75" x14ac:dyDescent="0.25">
      <c r="A61" s="21">
        <v>46003</v>
      </c>
      <c r="B61" s="19" t="s">
        <v>8</v>
      </c>
      <c r="C61" s="20">
        <v>20000</v>
      </c>
      <c r="D61" s="22"/>
    </row>
    <row r="62" spans="1:4" ht="18.75" x14ac:dyDescent="0.25">
      <c r="A62" s="21">
        <v>46003</v>
      </c>
      <c r="B62" s="19" t="s">
        <v>22</v>
      </c>
      <c r="C62" s="20">
        <v>50000</v>
      </c>
      <c r="D62" s="22"/>
    </row>
    <row r="63" spans="1:4" ht="18.75" x14ac:dyDescent="0.25">
      <c r="A63" s="21">
        <v>46003</v>
      </c>
      <c r="B63" s="19" t="s">
        <v>26</v>
      </c>
      <c r="C63" s="20">
        <v>95000</v>
      </c>
      <c r="D63" s="22"/>
    </row>
    <row r="64" spans="1:4" ht="18.75" x14ac:dyDescent="0.25">
      <c r="A64" s="21">
        <v>46003</v>
      </c>
      <c r="B64" s="19" t="s">
        <v>39</v>
      </c>
      <c r="C64" s="20">
        <v>150000</v>
      </c>
      <c r="D64" s="22" t="s">
        <v>30</v>
      </c>
    </row>
    <row r="65" spans="1:4" ht="18.75" x14ac:dyDescent="0.25">
      <c r="A65" s="21">
        <v>46003</v>
      </c>
      <c r="B65" s="19" t="s">
        <v>48</v>
      </c>
      <c r="C65" s="20">
        <v>340000</v>
      </c>
      <c r="D65" s="22" t="s">
        <v>24</v>
      </c>
    </row>
    <row r="66" spans="1:4" ht="18.75" x14ac:dyDescent="0.25">
      <c r="A66" s="21">
        <v>46004</v>
      </c>
      <c r="B66" s="19" t="s">
        <v>18</v>
      </c>
      <c r="C66" s="20">
        <v>20000</v>
      </c>
      <c r="D66" s="22" t="s">
        <v>16</v>
      </c>
    </row>
    <row r="67" spans="1:4" ht="18.75" x14ac:dyDescent="0.25">
      <c r="A67" s="21">
        <v>46004</v>
      </c>
      <c r="B67" s="19" t="s">
        <v>17</v>
      </c>
      <c r="C67" s="20">
        <v>50000</v>
      </c>
      <c r="D67" s="22" t="s">
        <v>30</v>
      </c>
    </row>
    <row r="68" spans="1:4" ht="18.75" x14ac:dyDescent="0.25">
      <c r="A68" s="21">
        <v>46004</v>
      </c>
      <c r="B68" s="19" t="s">
        <v>44</v>
      </c>
      <c r="C68" s="20">
        <v>20000</v>
      </c>
      <c r="D68" s="22" t="s">
        <v>16</v>
      </c>
    </row>
    <row r="69" spans="1:4" ht="18.75" x14ac:dyDescent="0.25">
      <c r="A69" s="21">
        <v>46004</v>
      </c>
      <c r="B69" s="19" t="s">
        <v>8</v>
      </c>
      <c r="C69" s="20">
        <v>20000</v>
      </c>
      <c r="D69" s="22" t="s">
        <v>3</v>
      </c>
    </row>
    <row r="70" spans="1:4" ht="18.75" x14ac:dyDescent="0.25">
      <c r="A70" s="21">
        <v>46004</v>
      </c>
      <c r="B70" s="19" t="s">
        <v>40</v>
      </c>
      <c r="C70" s="20">
        <v>100000</v>
      </c>
      <c r="D70" s="22" t="s">
        <v>3</v>
      </c>
    </row>
    <row r="71" spans="1:4" ht="18.75" x14ac:dyDescent="0.25">
      <c r="A71" s="21">
        <v>46004</v>
      </c>
      <c r="B71" s="19" t="s">
        <v>25</v>
      </c>
      <c r="C71" s="20">
        <v>50000</v>
      </c>
      <c r="D71" s="22" t="s">
        <v>43</v>
      </c>
    </row>
    <row r="72" spans="1:4" ht="18.75" x14ac:dyDescent="0.25">
      <c r="A72" s="21">
        <v>46005</v>
      </c>
      <c r="B72" s="19" t="s">
        <v>45</v>
      </c>
      <c r="C72" s="20">
        <v>20000</v>
      </c>
      <c r="D72" s="22" t="s">
        <v>16</v>
      </c>
    </row>
    <row r="73" spans="1:4" ht="18.75" x14ac:dyDescent="0.25">
      <c r="A73" s="21">
        <v>46005</v>
      </c>
      <c r="B73" s="19" t="s">
        <v>36</v>
      </c>
      <c r="C73" s="20">
        <v>5000</v>
      </c>
      <c r="D73" s="22" t="s">
        <v>30</v>
      </c>
    </row>
    <row r="74" spans="1:4" ht="18.75" x14ac:dyDescent="0.25">
      <c r="A74" s="21">
        <v>46005</v>
      </c>
      <c r="B74" s="19" t="s">
        <v>8</v>
      </c>
      <c r="C74" s="20">
        <v>20000</v>
      </c>
      <c r="D74" s="22" t="s">
        <v>3</v>
      </c>
    </row>
    <row r="75" spans="1:4" ht="18.75" x14ac:dyDescent="0.25">
      <c r="A75" s="21">
        <v>46005</v>
      </c>
      <c r="B75" s="19" t="s">
        <v>21</v>
      </c>
      <c r="C75" s="20">
        <v>50000</v>
      </c>
      <c r="D75" s="22" t="s">
        <v>30</v>
      </c>
    </row>
    <row r="76" spans="1:4" ht="18.75" x14ac:dyDescent="0.25">
      <c r="A76" s="21">
        <v>46006</v>
      </c>
      <c r="B76" s="19" t="s">
        <v>26</v>
      </c>
      <c r="C76" s="20">
        <v>70000</v>
      </c>
      <c r="D76" s="22" t="s">
        <v>43</v>
      </c>
    </row>
    <row r="77" spans="1:4" ht="18.75" x14ac:dyDescent="0.25">
      <c r="A77" s="21">
        <v>46006</v>
      </c>
      <c r="B77" s="19" t="s">
        <v>8</v>
      </c>
      <c r="C77" s="20">
        <v>20000</v>
      </c>
      <c r="D77" s="22" t="s">
        <v>3</v>
      </c>
    </row>
    <row r="78" spans="1:4" ht="18.75" x14ac:dyDescent="0.25">
      <c r="A78" s="21">
        <v>46006</v>
      </c>
      <c r="B78" s="19" t="s">
        <v>37</v>
      </c>
      <c r="C78" s="20">
        <v>10000</v>
      </c>
      <c r="D78" s="22" t="s">
        <v>30</v>
      </c>
    </row>
    <row r="79" spans="1:4" ht="18.75" x14ac:dyDescent="0.25">
      <c r="A79" s="21">
        <v>46006</v>
      </c>
      <c r="B79" s="19" t="s">
        <v>39</v>
      </c>
      <c r="C79" s="20">
        <v>60000</v>
      </c>
      <c r="D79" s="22" t="s">
        <v>30</v>
      </c>
    </row>
    <row r="80" spans="1:4" ht="18.75" x14ac:dyDescent="0.25">
      <c r="A80" s="21">
        <v>46007</v>
      </c>
      <c r="B80" s="19" t="s">
        <v>26</v>
      </c>
      <c r="C80" s="20">
        <v>20000</v>
      </c>
      <c r="D80" s="22" t="s">
        <v>43</v>
      </c>
    </row>
    <row r="81" spans="1:4" ht="18.75" x14ac:dyDescent="0.25">
      <c r="A81" s="21">
        <v>46008</v>
      </c>
      <c r="B81" s="19" t="s">
        <v>15</v>
      </c>
      <c r="C81" s="20">
        <v>55000</v>
      </c>
      <c r="D81" s="22" t="s">
        <v>30</v>
      </c>
    </row>
    <row r="82" spans="1:4" ht="18.75" x14ac:dyDescent="0.25">
      <c r="A82" s="21">
        <v>46008</v>
      </c>
      <c r="B82" s="19" t="s">
        <v>22</v>
      </c>
      <c r="C82" s="20">
        <v>20000</v>
      </c>
      <c r="D82" s="22" t="s">
        <v>49</v>
      </c>
    </row>
    <row r="83" spans="1:4" ht="18.75" x14ac:dyDescent="0.25">
      <c r="A83" s="21">
        <v>46008</v>
      </c>
      <c r="B83" s="19" t="s">
        <v>26</v>
      </c>
      <c r="C83" s="20">
        <v>100000</v>
      </c>
      <c r="D83" s="22" t="s">
        <v>30</v>
      </c>
    </row>
    <row r="84" spans="1:4" ht="18.75" x14ac:dyDescent="0.25">
      <c r="A84" s="21">
        <v>46009</v>
      </c>
      <c r="B84" s="19" t="s">
        <v>26</v>
      </c>
      <c r="C84" s="20">
        <v>5000</v>
      </c>
      <c r="D84" s="22" t="s">
        <v>30</v>
      </c>
    </row>
    <row r="85" spans="1:4" ht="18.75" x14ac:dyDescent="0.25">
      <c r="A85" s="21">
        <v>46009</v>
      </c>
      <c r="B85" s="19" t="s">
        <v>19</v>
      </c>
      <c r="C85" s="20">
        <v>50000</v>
      </c>
      <c r="D85" s="22" t="s">
        <v>16</v>
      </c>
    </row>
    <row r="86" spans="1:4" ht="18.75" x14ac:dyDescent="0.25">
      <c r="A86" s="21">
        <v>46010</v>
      </c>
      <c r="B86" s="19" t="s">
        <v>25</v>
      </c>
      <c r="C86" s="20">
        <v>100000</v>
      </c>
      <c r="D86" s="22" t="s">
        <v>30</v>
      </c>
    </row>
    <row r="87" spans="1:4" ht="18.75" x14ac:dyDescent="0.25">
      <c r="A87" s="21">
        <v>46010</v>
      </c>
      <c r="B87" s="19" t="s">
        <v>26</v>
      </c>
      <c r="C87" s="20">
        <v>20000</v>
      </c>
      <c r="D87" s="22" t="s">
        <v>43</v>
      </c>
    </row>
    <row r="88" spans="1:4" ht="18.75" x14ac:dyDescent="0.25">
      <c r="A88" s="21">
        <v>46010</v>
      </c>
      <c r="B88" s="19" t="s">
        <v>19</v>
      </c>
      <c r="C88" s="20">
        <v>300000</v>
      </c>
      <c r="D88" s="22" t="s">
        <v>16</v>
      </c>
    </row>
    <row r="89" spans="1:4" ht="18.75" x14ac:dyDescent="0.25">
      <c r="A89" s="21">
        <v>46010</v>
      </c>
      <c r="B89" s="19" t="s">
        <v>39</v>
      </c>
      <c r="C89" s="20">
        <v>100000</v>
      </c>
      <c r="D89" s="22" t="s">
        <v>30</v>
      </c>
    </row>
    <row r="90" spans="1:4" ht="18.75" x14ac:dyDescent="0.25">
      <c r="A90" s="21">
        <v>46010</v>
      </c>
      <c r="B90" s="19" t="s">
        <v>17</v>
      </c>
      <c r="C90" s="20">
        <v>50000</v>
      </c>
      <c r="D90" s="22" t="s">
        <v>30</v>
      </c>
    </row>
    <row r="91" spans="1:4" ht="18.75" x14ac:dyDescent="0.25">
      <c r="A91" s="21">
        <v>46010</v>
      </c>
      <c r="B91" s="19" t="s">
        <v>17</v>
      </c>
      <c r="C91" s="20">
        <v>110000</v>
      </c>
      <c r="D91" s="22" t="s">
        <v>30</v>
      </c>
    </row>
    <row r="92" spans="1:4" ht="18.75" x14ac:dyDescent="0.25">
      <c r="A92" s="21">
        <v>46010</v>
      </c>
      <c r="B92" s="19" t="s">
        <v>19</v>
      </c>
      <c r="C92" s="20">
        <v>100000</v>
      </c>
      <c r="D92" s="22" t="s">
        <v>16</v>
      </c>
    </row>
    <row r="93" spans="1:4" ht="18.75" x14ac:dyDescent="0.25">
      <c r="A93" s="21">
        <v>46010</v>
      </c>
      <c r="B93" s="19" t="s">
        <v>53</v>
      </c>
      <c r="C93" s="20">
        <v>25000</v>
      </c>
      <c r="D93" s="22" t="s">
        <v>30</v>
      </c>
    </row>
    <row r="94" spans="1:4" ht="18.75" x14ac:dyDescent="0.25">
      <c r="A94" s="21">
        <v>46010</v>
      </c>
      <c r="B94" s="19" t="s">
        <v>25</v>
      </c>
      <c r="C94" s="20">
        <v>50000</v>
      </c>
      <c r="D94" s="22" t="s">
        <v>50</v>
      </c>
    </row>
    <row r="95" spans="1:4" ht="18.75" x14ac:dyDescent="0.25">
      <c r="A95" s="21">
        <v>46011</v>
      </c>
      <c r="B95" s="19" t="s">
        <v>39</v>
      </c>
      <c r="C95" s="20">
        <v>100000</v>
      </c>
      <c r="D95" s="22" t="s">
        <v>30</v>
      </c>
    </row>
    <row r="96" spans="1:4" ht="18.75" x14ac:dyDescent="0.25">
      <c r="A96" s="21">
        <v>46011</v>
      </c>
      <c r="B96" s="19" t="s">
        <v>26</v>
      </c>
      <c r="C96" s="20">
        <v>100000</v>
      </c>
      <c r="D96" s="22" t="s">
        <v>51</v>
      </c>
    </row>
    <row r="97" spans="1:4" ht="18.75" x14ac:dyDescent="0.25">
      <c r="A97" s="21">
        <v>46011</v>
      </c>
      <c r="B97" s="19" t="s">
        <v>26</v>
      </c>
      <c r="C97" s="20">
        <v>50000</v>
      </c>
      <c r="D97" s="22" t="s">
        <v>51</v>
      </c>
    </row>
    <row r="98" spans="1:4" ht="18.75" x14ac:dyDescent="0.25">
      <c r="A98" s="21">
        <v>46011</v>
      </c>
      <c r="B98" s="19" t="s">
        <v>26</v>
      </c>
      <c r="C98" s="20">
        <v>100000</v>
      </c>
      <c r="D98" s="22" t="s">
        <v>30</v>
      </c>
    </row>
    <row r="99" spans="1:4" ht="18.75" x14ac:dyDescent="0.25">
      <c r="A99" s="21">
        <v>46013</v>
      </c>
      <c r="B99" s="19" t="s">
        <v>44</v>
      </c>
      <c r="C99" s="20">
        <v>50000</v>
      </c>
      <c r="D99" s="22" t="s">
        <v>52</v>
      </c>
    </row>
    <row r="100" spans="1:4" ht="18.75" x14ac:dyDescent="0.25">
      <c r="A100" s="21">
        <v>46014</v>
      </c>
      <c r="B100" s="19" t="s">
        <v>26</v>
      </c>
      <c r="C100" s="20">
        <v>50000</v>
      </c>
      <c r="D100" s="22" t="s">
        <v>43</v>
      </c>
    </row>
    <row r="101" spans="1:4" ht="18.75" x14ac:dyDescent="0.25">
      <c r="A101" s="21">
        <v>46015</v>
      </c>
      <c r="B101" s="19" t="s">
        <v>26</v>
      </c>
      <c r="C101" s="20">
        <v>10000</v>
      </c>
      <c r="D101" s="22" t="s">
        <v>30</v>
      </c>
    </row>
    <row r="102" spans="1:4" ht="18.75" x14ac:dyDescent="0.25">
      <c r="A102" s="21">
        <v>46015</v>
      </c>
      <c r="B102" s="19" t="s">
        <v>19</v>
      </c>
      <c r="C102" s="20">
        <v>20000</v>
      </c>
      <c r="D102" s="22" t="s">
        <v>16</v>
      </c>
    </row>
    <row r="103" spans="1:4" ht="18.75" x14ac:dyDescent="0.25">
      <c r="A103" s="21">
        <v>46015</v>
      </c>
      <c r="B103" s="19" t="s">
        <v>20</v>
      </c>
      <c r="C103" s="20">
        <v>20000</v>
      </c>
      <c r="D103" s="22" t="s">
        <v>54</v>
      </c>
    </row>
    <row r="104" spans="1:4" ht="18.75" x14ac:dyDescent="0.25">
      <c r="A104" s="21">
        <v>46016</v>
      </c>
      <c r="B104" s="19" t="s">
        <v>40</v>
      </c>
      <c r="C104" s="20">
        <v>20000</v>
      </c>
      <c r="D104" s="22" t="s">
        <v>3</v>
      </c>
    </row>
    <row r="105" spans="1:4" ht="18.75" x14ac:dyDescent="0.25">
      <c r="A105" s="21">
        <v>46016</v>
      </c>
      <c r="B105" s="19" t="s">
        <v>42</v>
      </c>
      <c r="C105" s="20">
        <v>100000</v>
      </c>
      <c r="D105" s="22" t="s">
        <v>3</v>
      </c>
    </row>
    <row r="106" spans="1:4" ht="18.75" x14ac:dyDescent="0.25">
      <c r="A106" s="21">
        <v>46016</v>
      </c>
      <c r="B106" s="19" t="s">
        <v>19</v>
      </c>
      <c r="C106" s="20">
        <v>20000</v>
      </c>
      <c r="D106" s="22" t="s">
        <v>16</v>
      </c>
    </row>
    <row r="107" spans="1:4" ht="18.75" x14ac:dyDescent="0.25">
      <c r="A107" s="21">
        <v>46016</v>
      </c>
      <c r="B107" s="19" t="s">
        <v>39</v>
      </c>
      <c r="C107" s="20">
        <v>50000</v>
      </c>
      <c r="D107" s="22" t="s">
        <v>51</v>
      </c>
    </row>
    <row r="108" spans="1:4" ht="18.75" x14ac:dyDescent="0.25">
      <c r="A108" s="21">
        <v>46017</v>
      </c>
      <c r="B108" s="19" t="s">
        <v>20</v>
      </c>
      <c r="C108" s="20">
        <v>20000</v>
      </c>
      <c r="D108" s="22" t="s">
        <v>3</v>
      </c>
    </row>
    <row r="109" spans="1:4" ht="18.75" x14ac:dyDescent="0.25">
      <c r="A109" s="21">
        <v>46017</v>
      </c>
      <c r="B109" s="19" t="s">
        <v>55</v>
      </c>
      <c r="C109" s="20">
        <v>20000</v>
      </c>
      <c r="D109" s="22" t="s">
        <v>3</v>
      </c>
    </row>
    <row r="110" spans="1:4" ht="18.75" x14ac:dyDescent="0.25">
      <c r="A110" s="21">
        <v>46017</v>
      </c>
      <c r="B110" s="19" t="s">
        <v>26</v>
      </c>
      <c r="C110" s="20">
        <v>220000</v>
      </c>
      <c r="D110" s="22" t="s">
        <v>51</v>
      </c>
    </row>
    <row r="111" spans="1:4" ht="18.75" x14ac:dyDescent="0.25">
      <c r="A111" s="21">
        <v>46018</v>
      </c>
      <c r="B111" s="19" t="s">
        <v>56</v>
      </c>
      <c r="C111" s="20">
        <v>20000</v>
      </c>
      <c r="D111" s="22" t="s">
        <v>3</v>
      </c>
    </row>
    <row r="112" spans="1:4" ht="18.75" x14ac:dyDescent="0.25">
      <c r="A112" s="21">
        <v>46018</v>
      </c>
      <c r="B112" s="19" t="s">
        <v>20</v>
      </c>
      <c r="C112" s="20">
        <v>20000</v>
      </c>
      <c r="D112" s="22" t="s">
        <v>3</v>
      </c>
    </row>
    <row r="113" spans="1:4" ht="18.75" x14ac:dyDescent="0.25">
      <c r="A113" s="21">
        <v>46018</v>
      </c>
      <c r="B113" s="19" t="s">
        <v>20</v>
      </c>
      <c r="C113" s="20">
        <v>200000</v>
      </c>
      <c r="D113" s="22" t="s">
        <v>16</v>
      </c>
    </row>
    <row r="114" spans="1:4" ht="18.75" x14ac:dyDescent="0.25">
      <c r="A114" s="21">
        <v>46019</v>
      </c>
      <c r="B114" s="19" t="s">
        <v>20</v>
      </c>
      <c r="C114" s="20">
        <v>100000</v>
      </c>
      <c r="D114" s="22" t="s">
        <v>16</v>
      </c>
    </row>
    <row r="115" spans="1:4" ht="18.75" x14ac:dyDescent="0.25">
      <c r="A115" s="21">
        <v>46019</v>
      </c>
      <c r="B115" s="19" t="s">
        <v>40</v>
      </c>
      <c r="C115" s="20">
        <v>100000</v>
      </c>
      <c r="D115" s="22" t="s">
        <v>3</v>
      </c>
    </row>
    <row r="116" spans="1:4" ht="18.75" x14ac:dyDescent="0.25">
      <c r="A116" s="21">
        <v>46019</v>
      </c>
      <c r="B116" s="19" t="s">
        <v>17</v>
      </c>
      <c r="C116" s="20">
        <v>75000</v>
      </c>
      <c r="D116" s="22" t="s">
        <v>30</v>
      </c>
    </row>
    <row r="117" spans="1:4" ht="18.75" x14ac:dyDescent="0.25">
      <c r="A117" s="21">
        <v>46019</v>
      </c>
      <c r="B117" s="19" t="s">
        <v>39</v>
      </c>
      <c r="C117" s="20">
        <v>100000</v>
      </c>
      <c r="D117" s="22" t="s">
        <v>51</v>
      </c>
    </row>
    <row r="118" spans="1:4" ht="18.75" x14ac:dyDescent="0.25">
      <c r="A118" s="21">
        <v>46020</v>
      </c>
      <c r="B118" s="19" t="s">
        <v>19</v>
      </c>
      <c r="C118" s="20">
        <v>50000</v>
      </c>
      <c r="D118" s="22" t="s">
        <v>16</v>
      </c>
    </row>
    <row r="119" spans="1:4" ht="18.75" x14ac:dyDescent="0.25">
      <c r="A119" s="21">
        <v>46020</v>
      </c>
      <c r="B119" s="19" t="s">
        <v>17</v>
      </c>
      <c r="C119" s="20">
        <v>350000</v>
      </c>
      <c r="D119" s="22" t="s">
        <v>57</v>
      </c>
    </row>
    <row r="120" spans="1:4" ht="18.75" x14ac:dyDescent="0.25">
      <c r="A120" s="21">
        <v>46020</v>
      </c>
      <c r="B120" s="19" t="s">
        <v>26</v>
      </c>
      <c r="C120" s="20">
        <v>350000</v>
      </c>
      <c r="D120" s="22" t="s">
        <v>30</v>
      </c>
    </row>
    <row r="121" spans="1:4" ht="18.75" x14ac:dyDescent="0.25">
      <c r="A121" s="21">
        <v>46021</v>
      </c>
      <c r="B121" s="19" t="s">
        <v>22</v>
      </c>
      <c r="C121" s="20">
        <v>50000</v>
      </c>
      <c r="D121" s="22" t="s">
        <v>3</v>
      </c>
    </row>
    <row r="122" spans="1:4" ht="18.75" x14ac:dyDescent="0.25">
      <c r="A122" s="21">
        <v>46021</v>
      </c>
      <c r="B122" s="19" t="s">
        <v>22</v>
      </c>
      <c r="C122" s="20">
        <v>50000</v>
      </c>
      <c r="D122" s="22" t="s">
        <v>3</v>
      </c>
    </row>
    <row r="123" spans="1:4" ht="18.75" x14ac:dyDescent="0.25">
      <c r="A123" s="21">
        <v>46021</v>
      </c>
      <c r="B123" s="19" t="s">
        <v>22</v>
      </c>
      <c r="C123" s="20">
        <v>20000</v>
      </c>
      <c r="D123" s="22" t="s">
        <v>3</v>
      </c>
    </row>
    <row r="124" spans="1:4" ht="18.75" x14ac:dyDescent="0.25">
      <c r="A124" s="21">
        <v>46021</v>
      </c>
      <c r="B124" s="19" t="s">
        <v>22</v>
      </c>
      <c r="C124" s="20">
        <v>50000</v>
      </c>
      <c r="D124" s="22" t="s">
        <v>24</v>
      </c>
    </row>
    <row r="125" spans="1:4" ht="18.75" x14ac:dyDescent="0.25">
      <c r="A125" s="21">
        <v>46021</v>
      </c>
      <c r="B125" s="19" t="s">
        <v>25</v>
      </c>
      <c r="C125" s="20">
        <v>100000</v>
      </c>
      <c r="D125" s="22" t="s">
        <v>57</v>
      </c>
    </row>
    <row r="126" spans="1:4" ht="18.75" x14ac:dyDescent="0.25">
      <c r="A126" s="21">
        <v>46021</v>
      </c>
      <c r="B126" s="19" t="s">
        <v>26</v>
      </c>
      <c r="C126" s="20">
        <v>50000</v>
      </c>
      <c r="D126" s="22" t="s">
        <v>51</v>
      </c>
    </row>
    <row r="127" spans="1:4" ht="18.75" x14ac:dyDescent="0.25">
      <c r="A127" s="21">
        <v>46021</v>
      </c>
      <c r="B127" s="19" t="s">
        <v>22</v>
      </c>
      <c r="C127" s="20">
        <v>12000</v>
      </c>
      <c r="D127" s="22" t="s">
        <v>58</v>
      </c>
    </row>
    <row r="128" spans="1:4" ht="18.75" x14ac:dyDescent="0.25">
      <c r="A128" s="21">
        <v>46022</v>
      </c>
      <c r="B128" s="19" t="s">
        <v>56</v>
      </c>
      <c r="C128" s="20">
        <v>20000</v>
      </c>
      <c r="D128" s="22" t="s">
        <v>49</v>
      </c>
    </row>
    <row r="129" spans="1:4" ht="18.75" x14ac:dyDescent="0.25">
      <c r="A129" s="21">
        <v>46023</v>
      </c>
      <c r="B129" s="19" t="s">
        <v>8</v>
      </c>
      <c r="C129" s="20">
        <v>20000</v>
      </c>
      <c r="D129" s="22" t="s">
        <v>3</v>
      </c>
    </row>
    <row r="130" spans="1:4" ht="18.75" x14ac:dyDescent="0.25">
      <c r="A130" s="21">
        <v>46023</v>
      </c>
      <c r="B130" s="19" t="s">
        <v>26</v>
      </c>
      <c r="C130" s="20">
        <v>500000</v>
      </c>
      <c r="D130" s="22" t="s">
        <v>30</v>
      </c>
    </row>
    <row r="131" spans="1:4" ht="18.75" x14ac:dyDescent="0.25">
      <c r="A131" s="21">
        <v>46023</v>
      </c>
      <c r="B131" s="19" t="s">
        <v>26</v>
      </c>
      <c r="C131" s="20">
        <v>20000</v>
      </c>
      <c r="D131" s="22" t="s">
        <v>43</v>
      </c>
    </row>
    <row r="132" spans="1:4" ht="18.75" x14ac:dyDescent="0.25">
      <c r="A132" s="21">
        <v>46023</v>
      </c>
      <c r="B132" s="19" t="s">
        <v>40</v>
      </c>
      <c r="C132" s="20">
        <v>200000</v>
      </c>
      <c r="D132" s="22" t="s">
        <v>3</v>
      </c>
    </row>
    <row r="133" spans="1:4" ht="18.75" x14ac:dyDescent="0.25">
      <c r="A133" s="21">
        <v>46023</v>
      </c>
      <c r="B133" s="19" t="s">
        <v>21</v>
      </c>
      <c r="C133" s="20">
        <v>100000</v>
      </c>
      <c r="D133" s="22" t="s">
        <v>30</v>
      </c>
    </row>
    <row r="134" spans="1:4" ht="18.75" x14ac:dyDescent="0.25">
      <c r="A134" s="21">
        <v>46023</v>
      </c>
      <c r="B134" s="19" t="s">
        <v>21</v>
      </c>
      <c r="C134" s="20">
        <v>15000</v>
      </c>
      <c r="D134" s="22" t="s">
        <v>30</v>
      </c>
    </row>
    <row r="135" spans="1:4" ht="18.75" x14ac:dyDescent="0.25">
      <c r="A135" s="21">
        <v>46024</v>
      </c>
      <c r="B135" s="19" t="s">
        <v>36</v>
      </c>
      <c r="C135" s="20">
        <v>20000</v>
      </c>
      <c r="D135" s="22" t="s">
        <v>30</v>
      </c>
    </row>
    <row r="136" spans="1:4" ht="18.75" x14ac:dyDescent="0.25">
      <c r="A136" s="21">
        <v>46024</v>
      </c>
      <c r="B136" s="19" t="s">
        <v>17</v>
      </c>
      <c r="C136" s="20">
        <v>75000</v>
      </c>
      <c r="D136" s="22" t="s">
        <v>57</v>
      </c>
    </row>
    <row r="137" spans="1:4" ht="18.75" x14ac:dyDescent="0.25">
      <c r="A137" s="21">
        <v>46024</v>
      </c>
      <c r="B137" s="19" t="s">
        <v>42</v>
      </c>
      <c r="C137" s="20">
        <v>20000</v>
      </c>
      <c r="D137" s="22" t="s">
        <v>24</v>
      </c>
    </row>
    <row r="138" spans="1:4" ht="18.75" x14ac:dyDescent="0.25">
      <c r="A138" s="21">
        <v>46024</v>
      </c>
      <c r="B138" s="19" t="s">
        <v>22</v>
      </c>
      <c r="C138" s="20">
        <v>20000</v>
      </c>
      <c r="D138" s="22" t="s">
        <v>3</v>
      </c>
    </row>
    <row r="139" spans="1:4" ht="18.75" x14ac:dyDescent="0.25">
      <c r="A139" s="21">
        <v>46025</v>
      </c>
      <c r="B139" s="19" t="s">
        <v>8</v>
      </c>
      <c r="C139" s="20">
        <v>60000</v>
      </c>
      <c r="D139" s="22" t="s">
        <v>3</v>
      </c>
    </row>
    <row r="140" spans="1:4" ht="18.75" x14ac:dyDescent="0.25">
      <c r="A140" s="21">
        <v>46026</v>
      </c>
      <c r="B140" s="19" t="s">
        <v>36</v>
      </c>
      <c r="C140" s="20">
        <v>80000</v>
      </c>
      <c r="D140" s="22" t="s">
        <v>30</v>
      </c>
    </row>
    <row r="141" spans="1:4" ht="18.75" x14ac:dyDescent="0.25">
      <c r="A141" s="21">
        <v>46027</v>
      </c>
      <c r="B141" s="19" t="s">
        <v>20</v>
      </c>
      <c r="C141" s="20">
        <v>100000</v>
      </c>
      <c r="D141" s="22" t="s">
        <v>3</v>
      </c>
    </row>
    <row r="142" spans="1:4" ht="18.75" x14ac:dyDescent="0.25">
      <c r="A142" s="21">
        <v>46028</v>
      </c>
      <c r="B142" s="19" t="s">
        <v>19</v>
      </c>
      <c r="C142" s="20">
        <v>170000</v>
      </c>
      <c r="D142" s="22" t="s">
        <v>16</v>
      </c>
    </row>
    <row r="143" spans="1:4" ht="18.75" x14ac:dyDescent="0.25">
      <c r="A143" s="21">
        <v>46029</v>
      </c>
      <c r="B143" s="19" t="s">
        <v>19</v>
      </c>
      <c r="C143" s="20">
        <v>100000</v>
      </c>
      <c r="D143" s="22" t="s">
        <v>16</v>
      </c>
    </row>
    <row r="144" spans="1:4" ht="18.75" x14ac:dyDescent="0.25">
      <c r="A144" s="21">
        <v>46030</v>
      </c>
      <c r="B144" s="19" t="s">
        <v>36</v>
      </c>
      <c r="C144" s="20">
        <v>20000</v>
      </c>
      <c r="D144" s="22" t="s">
        <v>30</v>
      </c>
    </row>
    <row r="145" spans="1:4" ht="18.75" x14ac:dyDescent="0.25">
      <c r="A145" s="21">
        <v>46030</v>
      </c>
      <c r="B145" s="19" t="s">
        <v>17</v>
      </c>
      <c r="C145" s="20">
        <v>50000</v>
      </c>
      <c r="D145" s="22" t="s">
        <v>57</v>
      </c>
    </row>
    <row r="146" spans="1:4" ht="18.75" x14ac:dyDescent="0.25">
      <c r="A146" s="21">
        <v>46030</v>
      </c>
      <c r="B146" s="19" t="s">
        <v>56</v>
      </c>
      <c r="C146" s="20">
        <v>20000</v>
      </c>
      <c r="D146" s="22" t="s">
        <v>3</v>
      </c>
    </row>
    <row r="147" spans="1:4" ht="18.75" x14ac:dyDescent="0.25">
      <c r="A147" s="21">
        <v>46030</v>
      </c>
      <c r="B147" s="19" t="s">
        <v>42</v>
      </c>
      <c r="C147" s="20">
        <v>20000</v>
      </c>
      <c r="D147" s="22" t="s">
        <v>24</v>
      </c>
    </row>
    <row r="148" spans="1:4" ht="18.75" x14ac:dyDescent="0.25">
      <c r="A148" s="21">
        <v>46031</v>
      </c>
      <c r="B148" s="19" t="s">
        <v>19</v>
      </c>
      <c r="C148" s="20">
        <v>150000</v>
      </c>
      <c r="D148" s="22" t="s">
        <v>16</v>
      </c>
    </row>
    <row r="149" spans="1:4" ht="18.75" x14ac:dyDescent="0.25">
      <c r="A149" s="21">
        <v>46031</v>
      </c>
      <c r="B149" s="19" t="s">
        <v>22</v>
      </c>
      <c r="C149" s="20">
        <v>50000</v>
      </c>
      <c r="D149" s="22" t="s">
        <v>3</v>
      </c>
    </row>
    <row r="150" spans="1:4" ht="18.75" x14ac:dyDescent="0.25">
      <c r="A150" s="21">
        <v>46031</v>
      </c>
      <c r="B150" s="19" t="s">
        <v>20</v>
      </c>
      <c r="C150" s="20">
        <v>20000</v>
      </c>
      <c r="D150" s="22" t="s">
        <v>3</v>
      </c>
    </row>
    <row r="151" spans="1:4" ht="18.75" x14ac:dyDescent="0.25">
      <c r="A151" s="21">
        <v>46031</v>
      </c>
      <c r="B151" s="19" t="s">
        <v>8</v>
      </c>
      <c r="C151" s="20">
        <v>20000</v>
      </c>
      <c r="D151" s="22" t="s">
        <v>3</v>
      </c>
    </row>
    <row r="152" spans="1:4" ht="18.75" x14ac:dyDescent="0.25">
      <c r="A152" s="21">
        <v>46031</v>
      </c>
      <c r="B152" s="19" t="s">
        <v>55</v>
      </c>
      <c r="C152" s="20">
        <v>60000</v>
      </c>
      <c r="D152" s="22" t="s">
        <v>3</v>
      </c>
    </row>
    <row r="153" spans="1:4" ht="18.75" x14ac:dyDescent="0.25">
      <c r="A153" s="21">
        <v>46031</v>
      </c>
      <c r="B153" s="19" t="s">
        <v>61</v>
      </c>
      <c r="C153" s="20">
        <v>20000</v>
      </c>
      <c r="D153" s="22" t="s">
        <v>3</v>
      </c>
    </row>
    <row r="154" spans="1:4" ht="18.75" x14ac:dyDescent="0.25">
      <c r="A154" s="21">
        <v>46032</v>
      </c>
      <c r="B154" s="19" t="s">
        <v>22</v>
      </c>
      <c r="C154" s="20">
        <v>20000</v>
      </c>
      <c r="D154" s="22" t="s">
        <v>24</v>
      </c>
    </row>
    <row r="155" spans="1:4" ht="18.75" x14ac:dyDescent="0.25">
      <c r="A155" s="21">
        <v>46033</v>
      </c>
      <c r="B155" s="19" t="s">
        <v>22</v>
      </c>
      <c r="C155" s="20">
        <v>100000</v>
      </c>
      <c r="D155" s="22" t="s">
        <v>3</v>
      </c>
    </row>
    <row r="156" spans="1:4" ht="18.75" x14ac:dyDescent="0.25">
      <c r="A156" s="21">
        <v>46033</v>
      </c>
      <c r="B156" s="19" t="s">
        <v>19</v>
      </c>
      <c r="C156" s="20">
        <v>500000</v>
      </c>
      <c r="D156" s="22" t="s">
        <v>16</v>
      </c>
    </row>
    <row r="157" spans="1:4" ht="18.75" x14ac:dyDescent="0.25">
      <c r="A157" s="21">
        <v>46033</v>
      </c>
      <c r="B157" s="19" t="s">
        <v>8</v>
      </c>
      <c r="C157" s="20">
        <v>20000</v>
      </c>
      <c r="D157" s="22" t="s">
        <v>3</v>
      </c>
    </row>
    <row r="158" spans="1:4" ht="18.75" x14ac:dyDescent="0.25">
      <c r="A158" s="21">
        <v>46034</v>
      </c>
      <c r="B158" s="19" t="s">
        <v>19</v>
      </c>
      <c r="C158" s="20">
        <v>50000</v>
      </c>
      <c r="D158" s="22" t="s">
        <v>16</v>
      </c>
    </row>
    <row r="159" spans="1:4" ht="18.75" x14ac:dyDescent="0.25">
      <c r="A159" s="21">
        <v>46035</v>
      </c>
      <c r="B159" s="19" t="s">
        <v>19</v>
      </c>
      <c r="C159" s="20">
        <v>50000</v>
      </c>
      <c r="D159" s="22" t="s">
        <v>16</v>
      </c>
    </row>
    <row r="160" spans="1:4" ht="18.75" x14ac:dyDescent="0.25">
      <c r="A160" s="21">
        <v>46035</v>
      </c>
      <c r="B160" s="19" t="s">
        <v>19</v>
      </c>
      <c r="C160" s="20">
        <v>20000</v>
      </c>
      <c r="D160" s="22" t="s">
        <v>16</v>
      </c>
    </row>
    <row r="161" spans="1:4" ht="18.75" x14ac:dyDescent="0.25">
      <c r="A161" s="21">
        <v>46035</v>
      </c>
      <c r="B161" s="19" t="s">
        <v>20</v>
      </c>
      <c r="C161" s="20">
        <v>20000</v>
      </c>
      <c r="D161" s="22" t="s">
        <v>24</v>
      </c>
    </row>
    <row r="162" spans="1:4" ht="18.75" x14ac:dyDescent="0.25">
      <c r="A162" s="21">
        <v>46035</v>
      </c>
      <c r="B162" s="19" t="s">
        <v>55</v>
      </c>
      <c r="C162" s="20">
        <v>20000</v>
      </c>
      <c r="D162" s="22" t="s">
        <v>3</v>
      </c>
    </row>
    <row r="163" spans="1:4" ht="18.75" x14ac:dyDescent="0.25">
      <c r="A163" s="21">
        <v>46035</v>
      </c>
      <c r="B163" s="19" t="s">
        <v>36</v>
      </c>
      <c r="C163" s="20">
        <v>20000</v>
      </c>
      <c r="D163" s="22" t="s">
        <v>24</v>
      </c>
    </row>
    <row r="164" spans="1:4" ht="18.75" x14ac:dyDescent="0.25">
      <c r="A164" s="21">
        <v>46036</v>
      </c>
      <c r="B164" s="19" t="s">
        <v>20</v>
      </c>
      <c r="C164" s="20">
        <v>20000</v>
      </c>
      <c r="D164" s="22" t="s">
        <v>49</v>
      </c>
    </row>
    <row r="165" spans="1:4" ht="18.75" x14ac:dyDescent="0.25">
      <c r="A165" s="21">
        <v>46036</v>
      </c>
      <c r="B165" s="19" t="s">
        <v>19</v>
      </c>
      <c r="C165" s="20">
        <v>50000</v>
      </c>
      <c r="D165" s="22" t="s">
        <v>16</v>
      </c>
    </row>
    <row r="166" spans="1:4" ht="18.75" x14ac:dyDescent="0.25">
      <c r="A166" s="21">
        <v>46037</v>
      </c>
      <c r="B166" s="19" t="s">
        <v>20</v>
      </c>
      <c r="C166" s="20">
        <v>120000</v>
      </c>
      <c r="D166" s="22" t="s">
        <v>3</v>
      </c>
    </row>
    <row r="167" spans="1:4" ht="18.75" x14ac:dyDescent="0.25">
      <c r="A167" s="21">
        <v>46037</v>
      </c>
      <c r="B167" s="19" t="s">
        <v>8</v>
      </c>
      <c r="C167" s="20">
        <v>130000</v>
      </c>
      <c r="D167" s="22" t="s">
        <v>3</v>
      </c>
    </row>
    <row r="168" spans="1:4" ht="18.75" x14ac:dyDescent="0.25">
      <c r="A168" s="21">
        <v>46037</v>
      </c>
      <c r="B168" s="19" t="s">
        <v>56</v>
      </c>
      <c r="C168" s="20">
        <v>50000</v>
      </c>
      <c r="D168" s="22" t="s">
        <v>3</v>
      </c>
    </row>
    <row r="169" spans="1:4" ht="18.75" x14ac:dyDescent="0.25">
      <c r="A169" s="21">
        <v>46037</v>
      </c>
      <c r="B169" s="19" t="s">
        <v>22</v>
      </c>
      <c r="C169" s="20">
        <v>100000</v>
      </c>
      <c r="D169" s="22" t="s">
        <v>3</v>
      </c>
    </row>
    <row r="170" spans="1:4" ht="18.75" x14ac:dyDescent="0.25">
      <c r="A170" s="21">
        <v>46038</v>
      </c>
      <c r="B170" s="19" t="s">
        <v>56</v>
      </c>
      <c r="C170" s="20">
        <v>50000</v>
      </c>
      <c r="D170" s="22" t="s">
        <v>3</v>
      </c>
    </row>
    <row r="171" spans="1:4" ht="18.75" x14ac:dyDescent="0.25">
      <c r="A171" s="21">
        <v>46040</v>
      </c>
      <c r="B171" s="19" t="s">
        <v>26</v>
      </c>
      <c r="C171" s="20">
        <v>10000</v>
      </c>
      <c r="D171" s="22" t="s">
        <v>30</v>
      </c>
    </row>
    <row r="172" spans="1:4" ht="18.75" x14ac:dyDescent="0.25">
      <c r="A172" s="21">
        <v>46041</v>
      </c>
      <c r="B172" s="19" t="s">
        <v>36</v>
      </c>
      <c r="C172" s="20">
        <v>20000</v>
      </c>
      <c r="D172" s="22" t="s">
        <v>3</v>
      </c>
    </row>
    <row r="173" spans="1:4" ht="18.75" x14ac:dyDescent="0.25">
      <c r="A173" s="21">
        <v>46041</v>
      </c>
      <c r="B173" s="19" t="s">
        <v>22</v>
      </c>
      <c r="C173" s="20">
        <v>100000</v>
      </c>
      <c r="D173" s="22" t="s">
        <v>57</v>
      </c>
    </row>
    <row r="174" spans="1:4" ht="18.75" x14ac:dyDescent="0.25">
      <c r="A174" s="21">
        <v>46041</v>
      </c>
      <c r="B174" s="19" t="s">
        <v>26</v>
      </c>
      <c r="C174" s="20">
        <v>300000</v>
      </c>
      <c r="D174" s="22" t="s">
        <v>30</v>
      </c>
    </row>
    <row r="175" spans="1:4" ht="18.75" x14ac:dyDescent="0.25">
      <c r="A175" s="21">
        <v>46041</v>
      </c>
      <c r="B175" s="19" t="s">
        <v>22</v>
      </c>
      <c r="C175" s="20">
        <v>100000</v>
      </c>
      <c r="D175" s="22" t="s">
        <v>52</v>
      </c>
    </row>
    <row r="176" spans="1:4" ht="18.75" x14ac:dyDescent="0.25">
      <c r="A176" s="21">
        <v>46041</v>
      </c>
      <c r="B176" s="19" t="s">
        <v>26</v>
      </c>
      <c r="C176" s="20">
        <v>100000</v>
      </c>
      <c r="D176" s="22" t="s">
        <v>30</v>
      </c>
    </row>
    <row r="177" spans="1:4" ht="18.75" x14ac:dyDescent="0.25">
      <c r="A177" s="21">
        <v>46041</v>
      </c>
      <c r="B177" s="19" t="s">
        <v>21</v>
      </c>
      <c r="C177" s="20">
        <v>100000</v>
      </c>
      <c r="D177" s="22" t="s">
        <v>30</v>
      </c>
    </row>
    <row r="178" spans="1:4" ht="18.75" x14ac:dyDescent="0.25">
      <c r="A178" s="21">
        <v>46041</v>
      </c>
      <c r="B178" s="19" t="s">
        <v>22</v>
      </c>
      <c r="C178" s="20">
        <v>20000</v>
      </c>
      <c r="D178" s="22" t="s">
        <v>52</v>
      </c>
    </row>
    <row r="179" spans="1:4" ht="18.75" x14ac:dyDescent="0.25">
      <c r="A179" s="21">
        <v>46041</v>
      </c>
      <c r="B179" s="19" t="s">
        <v>63</v>
      </c>
      <c r="C179" s="20">
        <v>20000</v>
      </c>
      <c r="D179" s="22" t="s">
        <v>3</v>
      </c>
    </row>
    <row r="180" spans="1:4" ht="18.75" x14ac:dyDescent="0.25">
      <c r="A180" s="21">
        <v>46041</v>
      </c>
      <c r="B180" s="19" t="s">
        <v>20</v>
      </c>
      <c r="C180" s="20">
        <v>20000</v>
      </c>
      <c r="D180" s="22" t="s">
        <v>24</v>
      </c>
    </row>
    <row r="181" spans="1:4" ht="18.75" x14ac:dyDescent="0.25">
      <c r="A181" s="21">
        <v>46042</v>
      </c>
      <c r="B181" s="19" t="s">
        <v>22</v>
      </c>
      <c r="C181" s="20">
        <v>20000</v>
      </c>
      <c r="D181" s="22" t="s">
        <v>3</v>
      </c>
    </row>
    <row r="182" spans="1:4" ht="18.75" x14ac:dyDescent="0.25">
      <c r="A182" s="21">
        <v>46042</v>
      </c>
      <c r="B182" s="19" t="s">
        <v>22</v>
      </c>
      <c r="C182" s="20">
        <v>20000</v>
      </c>
      <c r="D182" s="22" t="s">
        <v>52</v>
      </c>
    </row>
    <row r="183" spans="1:4" ht="18.75" x14ac:dyDescent="0.25">
      <c r="A183" s="21">
        <v>46042</v>
      </c>
      <c r="B183" s="19" t="s">
        <v>22</v>
      </c>
      <c r="C183" s="20">
        <v>50000</v>
      </c>
      <c r="D183" s="22" t="s">
        <v>3</v>
      </c>
    </row>
    <row r="184" spans="1:4" ht="18.75" x14ac:dyDescent="0.25">
      <c r="A184" s="21">
        <v>46042</v>
      </c>
      <c r="B184" s="19" t="s">
        <v>20</v>
      </c>
      <c r="C184" s="20">
        <v>100000</v>
      </c>
      <c r="D184" s="22" t="s">
        <v>3</v>
      </c>
    </row>
    <row r="185" spans="1:4" ht="18.75" x14ac:dyDescent="0.25">
      <c r="A185" s="21">
        <v>46043</v>
      </c>
      <c r="B185" s="19" t="s">
        <v>26</v>
      </c>
      <c r="C185" s="20">
        <v>5000</v>
      </c>
      <c r="D185" s="22" t="s">
        <v>30</v>
      </c>
    </row>
    <row r="186" spans="1:4" ht="18.75" x14ac:dyDescent="0.25">
      <c r="A186" s="21">
        <v>46043</v>
      </c>
      <c r="B186" s="19" t="s">
        <v>39</v>
      </c>
      <c r="C186" s="20">
        <v>150000</v>
      </c>
      <c r="D186" s="22" t="s">
        <v>30</v>
      </c>
    </row>
    <row r="187" spans="1:4" ht="18.75" x14ac:dyDescent="0.25">
      <c r="A187" s="21">
        <v>46043</v>
      </c>
      <c r="B187" s="19" t="s">
        <v>39</v>
      </c>
      <c r="C187" s="20">
        <v>150000</v>
      </c>
      <c r="D187" s="22" t="s">
        <v>30</v>
      </c>
    </row>
    <row r="188" spans="1:4" ht="18.75" x14ac:dyDescent="0.25">
      <c r="A188" s="21">
        <v>46043</v>
      </c>
      <c r="B188" s="19" t="s">
        <v>25</v>
      </c>
      <c r="C188" s="20">
        <v>190000</v>
      </c>
      <c r="D188" s="22" t="s">
        <v>57</v>
      </c>
    </row>
    <row r="189" spans="1:4" ht="18.75" x14ac:dyDescent="0.25">
      <c r="A189" s="21">
        <v>46043</v>
      </c>
      <c r="B189" s="19" t="s">
        <v>42</v>
      </c>
      <c r="C189" s="20">
        <v>50000</v>
      </c>
      <c r="D189" s="22" t="s">
        <v>3</v>
      </c>
    </row>
    <row r="190" spans="1:4" ht="18.75" x14ac:dyDescent="0.25">
      <c r="A190" s="21">
        <v>46043</v>
      </c>
      <c r="B190" s="19" t="s">
        <v>65</v>
      </c>
      <c r="C190" s="20">
        <v>50000</v>
      </c>
      <c r="D190" s="22" t="s">
        <v>16</v>
      </c>
    </row>
    <row r="191" spans="1:4" ht="18.75" x14ac:dyDescent="0.25">
      <c r="A191" s="21">
        <v>46043</v>
      </c>
      <c r="B191" s="19" t="s">
        <v>26</v>
      </c>
      <c r="C191" s="20">
        <v>500000</v>
      </c>
      <c r="D191" s="22" t="s">
        <v>30</v>
      </c>
    </row>
    <row r="192" spans="1:4" ht="18.75" x14ac:dyDescent="0.25">
      <c r="A192" s="21">
        <v>46043</v>
      </c>
      <c r="B192" s="19" t="s">
        <v>26</v>
      </c>
      <c r="C192" s="20">
        <v>10000</v>
      </c>
      <c r="D192" s="22" t="s">
        <v>30</v>
      </c>
    </row>
    <row r="193" spans="1:4" ht="18.75" x14ac:dyDescent="0.25">
      <c r="A193" s="21">
        <v>46043</v>
      </c>
      <c r="B193" s="19" t="s">
        <v>26</v>
      </c>
      <c r="C193" s="20">
        <v>10000</v>
      </c>
      <c r="D193" s="22" t="s">
        <v>24</v>
      </c>
    </row>
    <row r="194" spans="1:4" ht="18.75" x14ac:dyDescent="0.25">
      <c r="A194" s="21"/>
      <c r="B194" s="19"/>
      <c r="C194" s="20"/>
      <c r="D194" s="22"/>
    </row>
    <row r="195" spans="1:4" ht="18.75" x14ac:dyDescent="0.25">
      <c r="A195" s="21"/>
      <c r="B195" s="19"/>
      <c r="C195" s="20"/>
      <c r="D195" s="22"/>
    </row>
    <row r="196" spans="1:4" ht="18.75" x14ac:dyDescent="0.25">
      <c r="A196" s="21"/>
      <c r="B196" s="19"/>
      <c r="C196" s="20"/>
      <c r="D196" s="22"/>
    </row>
    <row r="197" spans="1:4" ht="18.75" x14ac:dyDescent="0.25">
      <c r="A197" s="21"/>
      <c r="B197" s="19"/>
      <c r="C197" s="20"/>
      <c r="D197" s="22"/>
    </row>
    <row r="198" spans="1:4" ht="18.75" x14ac:dyDescent="0.25">
      <c r="A198" s="21"/>
      <c r="B198" s="19"/>
      <c r="C198" s="20"/>
      <c r="D198" s="22"/>
    </row>
    <row r="199" spans="1:4" ht="18.75" x14ac:dyDescent="0.25">
      <c r="A199" s="21"/>
      <c r="B199" s="19"/>
      <c r="C199" s="20"/>
      <c r="D199" s="22"/>
    </row>
    <row r="200" spans="1:4" ht="18.75" x14ac:dyDescent="0.25">
      <c r="A200" s="21"/>
      <c r="B200" s="19"/>
      <c r="C200" s="20"/>
      <c r="D200" s="22"/>
    </row>
    <row r="201" spans="1:4" ht="18.75" x14ac:dyDescent="0.25">
      <c r="A201" s="21"/>
      <c r="B201" s="19"/>
      <c r="C201" s="20"/>
      <c r="D201" s="22"/>
    </row>
    <row r="202" spans="1:4" ht="18.75" x14ac:dyDescent="0.25">
      <c r="A202" s="21"/>
      <c r="B202" s="19"/>
      <c r="C202" s="20"/>
      <c r="D202" s="22"/>
    </row>
    <row r="203" spans="1:4" ht="18.75" x14ac:dyDescent="0.25">
      <c r="A203" s="21"/>
      <c r="B203" s="19"/>
      <c r="C203" s="20"/>
      <c r="D203" s="22"/>
    </row>
    <row r="204" spans="1:4" ht="18.75" x14ac:dyDescent="0.25">
      <c r="A204" s="21"/>
      <c r="B204" s="19"/>
      <c r="C204" s="20"/>
      <c r="D204" s="22"/>
    </row>
    <row r="205" spans="1:4" ht="18.75" x14ac:dyDescent="0.25">
      <c r="A205" s="21"/>
      <c r="B205" s="19"/>
      <c r="C205" s="20"/>
      <c r="D205" s="22"/>
    </row>
    <row r="206" spans="1:4" ht="18.75" x14ac:dyDescent="0.25">
      <c r="A206" s="21"/>
      <c r="B206" s="19"/>
      <c r="C206" s="20"/>
      <c r="D206" s="22"/>
    </row>
    <row r="207" spans="1:4" ht="18.75" x14ac:dyDescent="0.25">
      <c r="A207" s="21"/>
      <c r="B207" s="19"/>
      <c r="C207" s="20"/>
      <c r="D207" s="22"/>
    </row>
    <row r="208" spans="1:4" ht="18.75" x14ac:dyDescent="0.25">
      <c r="A208" s="21"/>
      <c r="B208" s="19"/>
      <c r="C208" s="20"/>
      <c r="D208" s="22"/>
    </row>
    <row r="209" spans="1:4" ht="18.75" x14ac:dyDescent="0.25">
      <c r="A209" s="21"/>
      <c r="B209" s="19"/>
      <c r="C209" s="20"/>
      <c r="D209" s="22"/>
    </row>
    <row r="210" spans="1:4" ht="18.75" x14ac:dyDescent="0.25">
      <c r="A210" s="21"/>
      <c r="B210" s="19"/>
      <c r="C210" s="20"/>
      <c r="D210" s="22"/>
    </row>
    <row r="211" spans="1:4" ht="18.75" x14ac:dyDescent="0.25">
      <c r="A211" s="21"/>
      <c r="B211" s="19"/>
      <c r="C211" s="20"/>
      <c r="D211" s="22"/>
    </row>
  </sheetData>
  <autoFilter ref="A1:D102" xr:uid="{CA131776-2E13-4A0E-8D22-F638A9EA7E4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="70" zoomScaleNormal="70" workbookViewId="0">
      <pane ySplit="1" topLeftCell="A2" activePane="bottomLeft" state="frozen"/>
      <selection pane="bottomLeft" activeCell="S58" sqref="S58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42</v>
      </c>
      <c r="D1" s="9" t="s">
        <v>40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44</v>
      </c>
      <c r="U1" s="17" t="s">
        <v>45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>
        <v>20000</v>
      </c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1475000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NỢ</vt:lpstr>
      <vt:lpstr>THONG KE NAP </vt:lpstr>
      <vt:lpstr>THỐNG KÊ NẠP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2026-01-21T14:49:32Z</dcterms:modified>
</cp:coreProperties>
</file>