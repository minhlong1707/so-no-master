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3391221D-6135-4113-BF2A-2EA3A6061B21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3" l="1"/>
  <c r="F10" i="3" s="1"/>
  <c r="I11" i="3"/>
  <c r="F11" i="3" s="1"/>
  <c r="I9" i="3"/>
  <c r="F9" i="3"/>
  <c r="D11" i="3"/>
  <c r="E5" i="3"/>
  <c r="E6" i="3"/>
  <c r="I8" i="3"/>
  <c r="F8" i="3" s="1"/>
  <c r="I7" i="3"/>
  <c r="F7" i="3" s="1"/>
  <c r="U43" i="4"/>
  <c r="T43" i="4"/>
  <c r="R26" i="4"/>
  <c r="R25" i="4"/>
  <c r="R19" i="4"/>
  <c r="R8" i="4"/>
  <c r="G20" i="4"/>
  <c r="G43" i="4" s="1"/>
  <c r="F10" i="4"/>
  <c r="E16" i="4"/>
  <c r="E3" i="3"/>
  <c r="D6" i="3"/>
  <c r="I6" i="3" s="1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6" i="3"/>
  <c r="F20" i="3"/>
  <c r="R43" i="4"/>
  <c r="F3" i="3"/>
  <c r="F21" i="3"/>
  <c r="F22" i="3" l="1"/>
</calcChain>
</file>

<file path=xl/sharedStrings.xml><?xml version="1.0" encoding="utf-8"?>
<sst xmlns="http://schemas.openxmlformats.org/spreadsheetml/2006/main" count="201" uniqueCount="55">
  <si>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</si>
  <si>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</si>
  <si>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</si>
  <si>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</si>
  <si>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</si>
  <si>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</si>
  <si>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</si>
  <si>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</si>
  <si>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</si>
  <si>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</si>
  <si>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</si>
  <si>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</si>
  <si>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</si>
  <si>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</si>
  <si>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</si>
  <si>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</si>
  <si>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</si>
  <si>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</si>
  <si>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</si>
  <si>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</si>
  <si>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</si>
  <si>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</si>
  <si>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</si>
  <si>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</si>
  <si>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</si>
  <si>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</si>
  <si>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</si>
  <si>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</si>
  <si>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</si>
  <si>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</si>
  <si>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</si>
  <si>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</si>
  <si>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</si>
  <si>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</si>
  <si>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</si>
  <si>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</si>
  <si>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</si>
  <si>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</si>
  <si>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</si>
  <si>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</si>
  <si>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</si>
  <si>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</si>
  <si>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</si>
  <si>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</si>
  <si>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</si>
  <si>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</si>
  <si>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</si>
  <si>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</si>
  <si>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</si>
  <si>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Đã trả đủ</t>
  </si>
  <si>
    <t>3 ngày</t>
  </si>
  <si>
    <t>Nạp điện thoại</t>
  </si>
  <si>
    <t>7 ngày</t>
  </si>
  <si>
    <t>2 ngày</t>
  </si>
  <si>
    <t>1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</si>
</sst>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67" fontId="0" fillId="0" borderId="1" xfId="0" applyNumberFormat="1" applyFill="1" applyBorder="1" applyAlignment="1">
      <alignment vertical="center"/>
    </xf>
    <xf numFmtId="9" fontId="0" fillId="0" borderId="1" xfId="0" applyNumberFormat="1" applyFill="1" applyBorder="1" applyAlignment="1">
      <alignment vertical="center"/>
    </xf>
    <xf numFmtId="165" fontId="0" fillId="0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vertical="center"/>
    </xf>
    <xf numFmtId="165" fontId="0" fillId="0" borderId="1" xfId="0" applyNumberForma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8"/>
  <sheetViews>
    <sheetView tabSelected="1" zoomScale="85" zoomScaleNormal="85" workbookViewId="0">
      <selection activeCell="J23" sqref="J23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3.5703125" style="25" customWidth="1"/>
    <col min="9" max="9" width="18.42578125" style="25" customWidth="1"/>
    <col min="10" max="11" width="12.140625" style="25" customWidth="1"/>
    <col min="12" max="12" width="11.710937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4" t="s">
        <v>18</v>
      </c>
      <c r="C2" s="1" t="s">
        <v>16</v>
      </c>
      <c r="D2" s="28">
        <v>350000</v>
      </c>
      <c r="E2" s="28">
        <v>0</v>
      </c>
      <c r="F2" s="28">
        <f>(D2+I2)-E2</f>
        <v>402500</v>
      </c>
      <c r="G2" s="28">
        <v>0</v>
      </c>
      <c r="H2" s="29">
        <v>0.15</v>
      </c>
      <c r="I2" s="28">
        <f>(D2*H2)</f>
        <v>52500</v>
      </c>
      <c r="J2" s="4">
        <v>45984</v>
      </c>
      <c r="K2" s="4">
        <v>46011</v>
      </c>
      <c r="L2" s="1" t="s">
        <v>53</v>
      </c>
      <c r="M2" s="1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</f>
        <v>10000</v>
      </c>
      <c r="F3" s="30">
        <f t="shared" ref="F3" si="0">(D3+I3)-E3</f>
        <v>10000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27" t="s">
        <v>8</v>
      </c>
      <c r="C5" s="15" t="s">
        <v>3</v>
      </c>
      <c r="D5" s="32">
        <v>100000</v>
      </c>
      <c r="E5" s="32">
        <f>50000-29000+20000+10000</f>
        <v>51000</v>
      </c>
      <c r="F5" s="32">
        <f t="shared" ref="F5" si="2">(D5+I5)-E5</f>
        <v>49000</v>
      </c>
      <c r="G5" s="32">
        <v>0</v>
      </c>
      <c r="H5" s="33">
        <v>0</v>
      </c>
      <c r="I5" s="32">
        <f t="shared" ref="I5" si="3">D5*H5</f>
        <v>0</v>
      </c>
      <c r="J5" s="16">
        <v>46001</v>
      </c>
      <c r="K5" s="16">
        <v>46010</v>
      </c>
      <c r="L5" s="15" t="s">
        <v>54</v>
      </c>
      <c r="M5" s="15" t="s">
        <v>14</v>
      </c>
    </row>
    <row r="6" spans="1:17" x14ac:dyDescent="0.25">
      <c r="A6" s="1">
        <v>5</v>
      </c>
      <c r="B6" s="27" t="s">
        <v>20</v>
      </c>
      <c r="C6" s="15" t="s">
        <v>3</v>
      </c>
      <c r="D6" s="32">
        <f>100000+50000</f>
        <v>150000</v>
      </c>
      <c r="E6" s="32">
        <f>10000+5000+23000+10000+50000+20000</f>
        <v>118000</v>
      </c>
      <c r="F6" s="32">
        <f t="shared" ref="F6" si="4">(D6+I6)-E6</f>
        <v>32000</v>
      </c>
      <c r="G6" s="32">
        <v>0</v>
      </c>
      <c r="H6" s="33">
        <v>0</v>
      </c>
      <c r="I6" s="32">
        <f t="shared" ref="I6" si="5">D6*H6</f>
        <v>0</v>
      </c>
      <c r="J6" s="16">
        <v>46001</v>
      </c>
      <c r="K6" s="16">
        <v>46010</v>
      </c>
      <c r="L6" s="15" t="s">
        <v>54</v>
      </c>
      <c r="M6" s="15" t="s">
        <v>14</v>
      </c>
    </row>
    <row r="7" spans="1:17" x14ac:dyDescent="0.25">
      <c r="A7" s="1">
        <v>6</v>
      </c>
      <c r="B7" s="24" t="s">
        <v>8</v>
      </c>
      <c r="C7" s="1" t="s">
        <v>3</v>
      </c>
      <c r="D7" s="28">
        <v>20000</v>
      </c>
      <c r="E7" s="28">
        <v>0</v>
      </c>
      <c r="F7" s="28">
        <f t="shared" ref="F7" si="6">(D7+I7)-E7</f>
        <v>20000</v>
      </c>
      <c r="G7" s="28">
        <v>0</v>
      </c>
      <c r="H7" s="29">
        <v>0</v>
      </c>
      <c r="I7" s="28">
        <f t="shared" ref="I7" si="7">D7*H7</f>
        <v>0</v>
      </c>
      <c r="J7" s="4">
        <v>46006</v>
      </c>
      <c r="K7" s="4">
        <v>46012</v>
      </c>
      <c r="L7" s="1" t="s">
        <v>50</v>
      </c>
      <c r="M7" s="1" t="s">
        <v>14</v>
      </c>
    </row>
    <row r="8" spans="1:17" x14ac:dyDescent="0.25">
      <c r="A8" s="1">
        <v>7</v>
      </c>
      <c r="B8" s="37" t="s">
        <v>19</v>
      </c>
      <c r="C8" s="38" t="s">
        <v>16</v>
      </c>
      <c r="D8" s="39">
        <v>50000</v>
      </c>
      <c r="E8" s="39">
        <v>50000</v>
      </c>
      <c r="F8" s="39">
        <f t="shared" ref="F8:F9" si="8">(D8+I8)-E8</f>
        <v>0</v>
      </c>
      <c r="G8" s="39">
        <v>0</v>
      </c>
      <c r="H8" s="40">
        <v>0</v>
      </c>
      <c r="I8" s="39">
        <f t="shared" ref="I8:I9" si="9">D8*H8</f>
        <v>0</v>
      </c>
      <c r="J8" s="41">
        <v>46009</v>
      </c>
      <c r="K8" s="41">
        <v>46010</v>
      </c>
      <c r="L8" s="38"/>
      <c r="M8" s="38" t="s">
        <v>49</v>
      </c>
    </row>
    <row r="9" spans="1:17" x14ac:dyDescent="0.25">
      <c r="A9" s="1">
        <v>8</v>
      </c>
      <c r="B9" s="44" t="s">
        <v>26</v>
      </c>
      <c r="C9" s="45" t="s">
        <v>43</v>
      </c>
      <c r="D9" s="46">
        <v>20000</v>
      </c>
      <c r="E9" s="46">
        <v>0</v>
      </c>
      <c r="F9" s="28">
        <f t="shared" si="8"/>
        <v>20000</v>
      </c>
      <c r="G9" s="28">
        <v>0</v>
      </c>
      <c r="H9" s="29">
        <v>0</v>
      </c>
      <c r="I9" s="28">
        <f t="shared" si="9"/>
        <v>0</v>
      </c>
      <c r="J9" s="4">
        <v>46010</v>
      </c>
      <c r="K9" s="4">
        <v>46016</v>
      </c>
      <c r="L9" s="1" t="s">
        <v>52</v>
      </c>
      <c r="M9" s="1" t="s">
        <v>14</v>
      </c>
    </row>
    <row r="10" spans="1:17" x14ac:dyDescent="0.25">
      <c r="A10" s="1">
        <v>9</v>
      </c>
      <c r="B10" s="44" t="s">
        <v>39</v>
      </c>
      <c r="C10" s="45" t="s">
        <v>30</v>
      </c>
      <c r="D10" s="46">
        <v>100000</v>
      </c>
      <c r="E10" s="46">
        <v>0</v>
      </c>
      <c r="F10" s="28">
        <f t="shared" ref="F10:F11" si="10">(D10+I10)-E10</f>
        <v>100000</v>
      </c>
      <c r="G10" s="28">
        <v>0</v>
      </c>
      <c r="H10" s="29">
        <v>0</v>
      </c>
      <c r="I10" s="28">
        <f t="shared" ref="I10:I11" si="11">D10*H10</f>
        <v>0</v>
      </c>
      <c r="J10" s="4">
        <v>46010</v>
      </c>
      <c r="K10" s="4">
        <v>46016</v>
      </c>
      <c r="L10" s="1" t="s">
        <v>52</v>
      </c>
      <c r="M10" s="1" t="s">
        <v>14</v>
      </c>
    </row>
    <row r="11" spans="1:17" x14ac:dyDescent="0.25">
      <c r="A11" s="1">
        <v>10</v>
      </c>
      <c r="B11" s="44" t="s">
        <v>17</v>
      </c>
      <c r="C11" s="45" t="s">
        <v>30</v>
      </c>
      <c r="D11" s="46">
        <f>50000+110000</f>
        <v>160000</v>
      </c>
      <c r="E11" s="46">
        <v>0</v>
      </c>
      <c r="F11" s="28">
        <f t="shared" si="10"/>
        <v>160000</v>
      </c>
      <c r="G11" s="28">
        <v>0</v>
      </c>
      <c r="H11" s="29">
        <v>0</v>
      </c>
      <c r="I11" s="28">
        <f t="shared" si="11"/>
        <v>0</v>
      </c>
      <c r="J11" s="4">
        <v>46010</v>
      </c>
      <c r="K11" s="4">
        <v>46016</v>
      </c>
      <c r="L11" s="1" t="s">
        <v>52</v>
      </c>
      <c r="M11" s="1" t="s">
        <v>14</v>
      </c>
    </row>
    <row r="12" spans="1:17" x14ac:dyDescent="0.25">
      <c r="A12" s="1">
        <v>11</v>
      </c>
      <c r="B12" s="44"/>
      <c r="C12" s="45"/>
      <c r="D12" s="46"/>
      <c r="E12" s="46"/>
      <c r="F12" s="46"/>
      <c r="G12" s="46"/>
      <c r="H12" s="47"/>
      <c r="I12" s="46"/>
      <c r="J12" s="48"/>
      <c r="K12" s="48"/>
      <c r="L12" s="45"/>
      <c r="M12" s="45"/>
    </row>
    <row r="13" spans="1:17" x14ac:dyDescent="0.25">
      <c r="A13" s="1">
        <v>12</v>
      </c>
      <c r="B13" s="44"/>
      <c r="C13" s="45"/>
      <c r="D13" s="46"/>
      <c r="E13" s="46"/>
      <c r="F13" s="46"/>
      <c r="G13" s="46"/>
      <c r="H13" s="47"/>
      <c r="I13" s="46"/>
      <c r="J13" s="48"/>
      <c r="K13" s="48"/>
      <c r="L13" s="45"/>
      <c r="M13" s="45"/>
    </row>
    <row r="14" spans="1:17" x14ac:dyDescent="0.25">
      <c r="A14" s="1">
        <v>13</v>
      </c>
      <c r="B14" s="44"/>
      <c r="C14" s="45"/>
      <c r="D14" s="46"/>
      <c r="E14" s="46"/>
      <c r="F14" s="46"/>
      <c r="G14" s="46"/>
      <c r="H14" s="47"/>
      <c r="I14" s="46"/>
      <c r="J14" s="48"/>
      <c r="K14" s="48"/>
      <c r="L14" s="45"/>
      <c r="M14" s="45"/>
    </row>
    <row r="15" spans="1:17" x14ac:dyDescent="0.25">
      <c r="A15" s="1">
        <v>14</v>
      </c>
      <c r="B15" s="44"/>
      <c r="C15" s="45"/>
      <c r="D15" s="46"/>
      <c r="E15" s="46"/>
      <c r="F15" s="46"/>
      <c r="G15" s="46"/>
      <c r="H15" s="47"/>
      <c r="I15" s="46"/>
      <c r="J15" s="48"/>
      <c r="K15" s="48"/>
      <c r="L15" s="45"/>
      <c r="M15" s="45"/>
    </row>
    <row r="16" spans="1:17" x14ac:dyDescent="0.25">
      <c r="A16" s="1">
        <v>15</v>
      </c>
      <c r="B16" s="44"/>
      <c r="C16" s="45"/>
      <c r="D16" s="46"/>
      <c r="E16" s="46"/>
      <c r="F16" s="46"/>
      <c r="G16" s="46"/>
      <c r="H16" s="47"/>
      <c r="I16" s="46"/>
      <c r="J16" s="48"/>
      <c r="K16" s="48"/>
      <c r="L16" s="45"/>
      <c r="M16" s="45"/>
    </row>
    <row r="17" spans="1:13" x14ac:dyDescent="0.25">
      <c r="A17" s="1">
        <v>16</v>
      </c>
      <c r="B17" s="44"/>
      <c r="C17" s="45"/>
      <c r="D17" s="46"/>
      <c r="E17" s="46"/>
      <c r="F17" s="46"/>
      <c r="G17" s="46"/>
      <c r="H17" s="47"/>
      <c r="I17" s="46"/>
      <c r="J17" s="48"/>
      <c r="K17" s="48"/>
      <c r="L17" s="45"/>
      <c r="M17" s="45"/>
    </row>
    <row r="18" spans="1:13" x14ac:dyDescent="0.25">
      <c r="A18" s="1">
        <v>17</v>
      </c>
      <c r="B18" s="44"/>
      <c r="C18" s="45"/>
      <c r="D18" s="49"/>
      <c r="E18" s="49"/>
      <c r="F18" s="49"/>
      <c r="G18" s="49"/>
      <c r="H18" s="44"/>
      <c r="I18" s="49"/>
      <c r="J18" s="44"/>
      <c r="K18" s="50"/>
      <c r="L18" s="44"/>
      <c r="M18" s="44"/>
    </row>
    <row r="19" spans="1:13" ht="24" x14ac:dyDescent="0.25">
      <c r="B19" s="34" t="s">
        <v>33</v>
      </c>
      <c r="C19" s="34"/>
      <c r="D19" s="43" t="s">
        <v>34</v>
      </c>
      <c r="E19" s="43"/>
      <c r="F19" s="43"/>
      <c r="G19" s="43"/>
    </row>
    <row r="20" spans="1:13" x14ac:dyDescent="0.25">
      <c r="D20" s="42" t="s">
        <v>28</v>
      </c>
      <c r="E20" s="42"/>
      <c r="F20" s="35">
        <f>SUM(D2:D18)</f>
        <v>1000000</v>
      </c>
      <c r="G20" s="36"/>
      <c r="J20" s="36"/>
    </row>
    <row r="21" spans="1:13" x14ac:dyDescent="0.25">
      <c r="D21" s="42" t="s">
        <v>29</v>
      </c>
      <c r="E21" s="42"/>
      <c r="F21" s="35">
        <f>SUM(E2:E18)</f>
        <v>229000</v>
      </c>
      <c r="G21" s="36"/>
      <c r="M21" s="25" t="s">
        <v>41</v>
      </c>
    </row>
    <row r="22" spans="1:13" x14ac:dyDescent="0.25">
      <c r="D22" s="42" t="s">
        <v>27</v>
      </c>
      <c r="E22" s="42"/>
      <c r="F22" s="35">
        <f>-SUM(F2:F18)</f>
        <v>-823500</v>
      </c>
      <c r="G22" s="36"/>
    </row>
    <row r="24" spans="1:13" x14ac:dyDescent="0.25">
      <c r="F24" s="36"/>
      <c r="G24" s="36"/>
    </row>
    <row r="25" spans="1:13" x14ac:dyDescent="0.25">
      <c r="F25" s="36"/>
      <c r="G25" s="36"/>
    </row>
    <row r="26" spans="1:13" x14ac:dyDescent="0.25">
      <c r="F26" s="36"/>
      <c r="G26" s="36"/>
    </row>
    <row r="27" spans="1:13" x14ac:dyDescent="0.25">
      <c r="F27" s="36"/>
    </row>
    <row r="28" spans="1:13" x14ac:dyDescent="0.25">
      <c r="F28" s="36"/>
    </row>
  </sheetData>
  <mergeCells count="4">
    <mergeCell ref="D20:E20"/>
    <mergeCell ref="D21:E21"/>
    <mergeCell ref="D22:E22"/>
    <mergeCell ref="D19:G19"/>
  </mergeCells>
  <phoneticPr fontId="1" type="noConversion"/>
  <hyperlinks>
    <hyperlink ref="D19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99"/>
  <sheetViews>
    <sheetView topLeftCell="A77" workbookViewId="0">
      <selection activeCell="G91" sqref="G91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51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/>
      <c r="B92" s="19"/>
      <c r="C92" s="20"/>
      <c r="D92" s="22"/>
    </row>
    <row r="93" spans="1:4" ht="18.75" x14ac:dyDescent="0.25">
      <c r="A93" s="21"/>
      <c r="B93" s="19"/>
      <c r="C93" s="20"/>
      <c r="D93" s="22"/>
    </row>
    <row r="94" spans="1:4" ht="18.75" x14ac:dyDescent="0.25">
      <c r="A94" s="21"/>
      <c r="B94" s="19"/>
      <c r="C94" s="20"/>
      <c r="D94" s="22"/>
    </row>
    <row r="95" spans="1:4" ht="18.75" x14ac:dyDescent="0.25">
      <c r="A95" s="21"/>
      <c r="B95" s="19"/>
      <c r="C95" s="20"/>
      <c r="D95" s="22"/>
    </row>
    <row r="96" spans="1:4" ht="18.75" x14ac:dyDescent="0.25">
      <c r="A96" s="21"/>
      <c r="B96" s="19"/>
      <c r="C96" s="20"/>
      <c r="D96" s="22"/>
    </row>
    <row r="97" spans="1:4" ht="18.75" x14ac:dyDescent="0.25">
      <c r="A97" s="21"/>
      <c r="B97" s="19"/>
      <c r="C97" s="20"/>
      <c r="D97" s="22"/>
    </row>
    <row r="98" spans="1:4" ht="18.75" x14ac:dyDescent="0.25">
      <c r="A98" s="21"/>
      <c r="B98" s="19"/>
      <c r="C98" s="20"/>
      <c r="D98" s="22"/>
    </row>
    <row r="99" spans="1:4" ht="18.75" x14ac:dyDescent="0.25">
      <c r="A99" s="21"/>
      <c r="B99" s="19"/>
      <c r="C99" s="20"/>
      <c r="D9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2025-12-19T13:15:00Z</dcterms:modified>
</cp:coreProperties>
</file>