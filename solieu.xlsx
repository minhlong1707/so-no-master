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89C61833-3217-4866-9168-9AB6E279F339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NỢ'!$A$1:$M$34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E7" i="3"/>
  <c r="E18" i="3"/>
  <c r="I26" i="3"/>
  <c r="E10" i="3"/>
  <c r="E22" i="3"/>
  <c r="E37" i="3"/>
  <c r="I24" i="3"/>
  <c r="F24" i="3" s="1"/>
  <c r="I25" i="3"/>
  <c r="F25" i="3" s="1"/>
  <c r="I23" i="3"/>
  <c r="F23" i="3" s="1"/>
  <c r="I22" i="3"/>
  <c r="F22" i="3" s="1"/>
  <c r="I21" i="3"/>
  <c r="F21" i="3" s="1"/>
  <c r="I19" i="3"/>
  <c r="F19" i="3" s="1"/>
  <c r="I20" i="3"/>
  <c r="F20" i="3" s="1"/>
  <c r="I18" i="3"/>
  <c r="F18" i="3"/>
  <c r="E5" i="3"/>
  <c r="I17" i="3"/>
  <c r="F17" i="3" s="1"/>
  <c r="E13" i="3"/>
  <c r="I12" i="3"/>
  <c r="F12" i="3" s="1"/>
  <c r="I13" i="3"/>
  <c r="I14" i="3"/>
  <c r="F14" i="3" s="1"/>
  <c r="I15" i="3"/>
  <c r="F15" i="3" s="1"/>
  <c r="I16" i="3"/>
  <c r="F16" i="3" s="1"/>
  <c r="I11" i="3"/>
  <c r="F11" i="3" s="1"/>
  <c r="I10" i="3"/>
  <c r="D9" i="3"/>
  <c r="I9" i="3" s="1"/>
  <c r="F9" i="3" s="1"/>
  <c r="I8" i="3"/>
  <c r="F8" i="3" s="1"/>
  <c r="I7" i="3"/>
  <c r="I6" i="3"/>
  <c r="F6" i="3" s="1"/>
  <c r="D5" i="3"/>
  <c r="I5" i="3" s="1"/>
  <c r="I4" i="3"/>
  <c r="F4" i="3" s="1"/>
  <c r="D3" i="3"/>
  <c r="I3" i="3" s="1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H43" i="4"/>
  <c r="I43" i="4"/>
  <c r="L43" i="4"/>
  <c r="M43" i="4"/>
  <c r="N43" i="4"/>
  <c r="O43" i="4"/>
  <c r="B43" i="4"/>
  <c r="F10" i="3" l="1"/>
  <c r="F13" i="3"/>
  <c r="F7" i="3"/>
  <c r="F33" i="3"/>
  <c r="F32" i="3"/>
  <c r="F5" i="3"/>
  <c r="R43" i="4"/>
  <c r="F3" i="3"/>
  <c r="F35" i="3" l="1"/>
  <c r="F34" i="3"/>
</calcChain>
</file>

<file path=xl/sharedStrings.xml><?xml version="1.0" encoding="utf-8"?>
<sst xmlns="http://schemas.openxmlformats.org/spreadsheetml/2006/main" count="476" uniqueCount="71">
  <si>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</si>
  <si>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</si>
  <si>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</si>
  <si>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</si>
  <si>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</si>
  <si>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</si>
  <si>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</si>
  <si>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</si>
  <si>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</si>
  <si>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</si>
  <si>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</si>
  <si>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</si>
  <si>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</si>
  <si>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</si>
  <si>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</si>
  <si>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</si>
  <si>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</si>
  <si>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</si>
  <si>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</si>
  <si>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</si>
  <si>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</si>
  <si>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</si>
  <si>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</si>
  <si>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</si>
  <si>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</si>
  <si>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</si>
  <si>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</si>
  <si>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</si>
  <si>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</si>
  <si>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</si>
  <si>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</si>
  <si>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</si>
  <si>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</si>
  <si>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</si>
  <si>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</si>
  <si>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</si>
  <si>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</si>
  <si>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</si>
  <si>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</si>
  <si>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</si>
  <si>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</si>
  <si>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</si>
  <si>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</si>
  <si>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</si>
  <si>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</si>
  <si>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</si>
  <si>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</si>
  <si>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</si>
  <si>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</si>
  <si>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</si>
  <si>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</si>
  <si>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</si>
  <si>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</si>
  <si>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</si>
  <si>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</si>
  <si>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</si>
  <si>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</si>
  <si>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</si>
  <si>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Phụ thu đổi thẻ Zing</t>
  </si>
  <si>
    <t>Hồ Nhã Lan</t>
  </si>
  <si>
    <t>Nợ</t>
  </si>
  <si>
    <t>Trương Gia Hân</t>
  </si>
  <si>
    <t>Nợ ba</t>
  </si>
  <si>
    <t>Đỗ Mai Linh</t>
  </si>
  <si>
    <t>Mua thẻ Zing + Garena</t>
  </si>
  <si>
    <t>Phan Trà Phương Trang</t>
  </si>
  <si>
    <t>Chênh lệch:</t>
  </si>
  <si>
    <t>Nguyễn Hoàng Gia Hân</t>
  </si>
  <si>
    <t>Mua thẻ tháng Free Fire</t>
  </si>
  <si>
    <t>Nợ mẹ</t>
  </si>
  <si>
    <t>Đã trả đủ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</si>
</sst>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  <numFmt numFmtId="168" formatCode="_-* #,##0\ [$₫-42A]_-;\-* #,##0\ [$₫-42A]_-;_-* &quot;-&quot;???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68" fontId="0" fillId="0" borderId="0" xfId="0" applyNumberFormat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41"/>
  <sheetViews>
    <sheetView tabSelected="1" zoomScale="85" zoomScaleNormal="85" workbookViewId="0">
      <selection activeCell="F22" sqref="F22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21.7109375" style="25" bestFit="1" customWidth="1"/>
    <col min="4" max="5" width="12.140625" style="25" customWidth="1"/>
    <col min="6" max="6" width="14.2851562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490000</v>
      </c>
      <c r="G2" s="32">
        <v>0</v>
      </c>
      <c r="H2" s="33">
        <v>0.4</v>
      </c>
      <c r="I2" s="32">
        <f>(D2*H2)</f>
        <v>140000</v>
      </c>
      <c r="J2" s="16">
        <v>45984</v>
      </c>
      <c r="K2" s="16">
        <v>46053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4" t="s">
        <v>59</v>
      </c>
      <c r="C4" s="1" t="s">
        <v>60</v>
      </c>
      <c r="D4" s="28">
        <v>2000</v>
      </c>
      <c r="E4" s="28">
        <v>0</v>
      </c>
      <c r="F4" s="28">
        <f t="shared" ref="F4" si="2">(D4+I4)-E4</f>
        <v>2200</v>
      </c>
      <c r="G4" s="28">
        <v>0</v>
      </c>
      <c r="H4" s="29">
        <v>0.1</v>
      </c>
      <c r="I4" s="28">
        <f t="shared" ref="I4" si="3">D4*H4</f>
        <v>200</v>
      </c>
      <c r="J4" s="4">
        <v>46022</v>
      </c>
      <c r="K4" s="4">
        <v>46049</v>
      </c>
      <c r="L4" s="4"/>
      <c r="M4" s="1" t="s">
        <v>14</v>
      </c>
    </row>
    <row r="5" spans="1:17" x14ac:dyDescent="0.25">
      <c r="A5" s="1">
        <v>4</v>
      </c>
      <c r="B5" s="24" t="s">
        <v>8</v>
      </c>
      <c r="C5" s="1" t="s">
        <v>3</v>
      </c>
      <c r="D5" s="28">
        <f>100000+20000+10000</f>
        <v>130000</v>
      </c>
      <c r="E5" s="28">
        <f>10000+5000+5000+10000+30000</f>
        <v>60000</v>
      </c>
      <c r="F5" s="28">
        <f t="shared" ref="F5" si="4">(D5+I5)-E5</f>
        <v>70000</v>
      </c>
      <c r="G5" s="28">
        <v>0</v>
      </c>
      <c r="H5" s="29">
        <v>0</v>
      </c>
      <c r="I5" s="28">
        <f t="shared" ref="I5" si="5">D5*H5</f>
        <v>0</v>
      </c>
      <c r="J5" s="4">
        <v>46037</v>
      </c>
      <c r="K5" s="4">
        <v>46043</v>
      </c>
      <c r="L5" s="4"/>
      <c r="M5" s="1" t="s">
        <v>14</v>
      </c>
    </row>
    <row r="6" spans="1:17" x14ac:dyDescent="0.25">
      <c r="A6" s="1">
        <v>5</v>
      </c>
      <c r="B6" s="24" t="s">
        <v>22</v>
      </c>
      <c r="C6" s="1" t="s">
        <v>57</v>
      </c>
      <c r="D6" s="28">
        <v>100000</v>
      </c>
      <c r="E6" s="28">
        <v>0</v>
      </c>
      <c r="F6" s="28">
        <f t="shared" ref="F6" si="6">(D6+I6)-E6</f>
        <v>100000</v>
      </c>
      <c r="G6" s="28">
        <v>0</v>
      </c>
      <c r="H6" s="29">
        <v>0</v>
      </c>
      <c r="I6" s="28">
        <f t="shared" ref="I6" si="7">D6*H6</f>
        <v>0</v>
      </c>
      <c r="J6" s="4">
        <v>46041</v>
      </c>
      <c r="K6" s="4">
        <v>46054</v>
      </c>
      <c r="L6" s="4"/>
      <c r="M6" s="1" t="s">
        <v>14</v>
      </c>
    </row>
    <row r="7" spans="1:17" x14ac:dyDescent="0.25">
      <c r="A7" s="1">
        <v>6</v>
      </c>
      <c r="B7" s="41" t="s">
        <v>22</v>
      </c>
      <c r="C7" s="42" t="s">
        <v>52</v>
      </c>
      <c r="D7" s="43">
        <v>100000</v>
      </c>
      <c r="E7" s="43">
        <f>92000+8000</f>
        <v>100000</v>
      </c>
      <c r="F7" s="43">
        <f t="shared" ref="F7" si="8">(D7+I7)-E7</f>
        <v>0</v>
      </c>
      <c r="G7" s="43">
        <v>0</v>
      </c>
      <c r="H7" s="44">
        <v>0</v>
      </c>
      <c r="I7" s="43">
        <f t="shared" ref="I7" si="9">D7*H7</f>
        <v>0</v>
      </c>
      <c r="J7" s="45">
        <v>46041</v>
      </c>
      <c r="K7" s="45">
        <v>46048</v>
      </c>
      <c r="L7" s="45"/>
      <c r="M7" s="42" t="s">
        <v>70</v>
      </c>
    </row>
    <row r="8" spans="1:17" x14ac:dyDescent="0.25">
      <c r="A8" s="1">
        <v>7</v>
      </c>
      <c r="B8" s="41" t="s">
        <v>22</v>
      </c>
      <c r="C8" s="42" t="s">
        <v>52</v>
      </c>
      <c r="D8" s="43">
        <v>20000</v>
      </c>
      <c r="E8" s="43">
        <v>20000</v>
      </c>
      <c r="F8" s="43">
        <f t="shared" ref="F8" si="10">(D8+I8)-E8</f>
        <v>0</v>
      </c>
      <c r="G8" s="43">
        <v>0</v>
      </c>
      <c r="H8" s="44">
        <v>0</v>
      </c>
      <c r="I8" s="43">
        <f t="shared" ref="I8" si="11">D8*H8</f>
        <v>0</v>
      </c>
      <c r="J8" s="45">
        <v>46041</v>
      </c>
      <c r="K8" s="45">
        <v>46048</v>
      </c>
      <c r="L8" s="45"/>
      <c r="M8" s="42" t="s">
        <v>70</v>
      </c>
    </row>
    <row r="9" spans="1:17" x14ac:dyDescent="0.25">
      <c r="A9" s="1">
        <v>8</v>
      </c>
      <c r="B9" s="24" t="s">
        <v>22</v>
      </c>
      <c r="C9" s="1" t="s">
        <v>64</v>
      </c>
      <c r="D9" s="28">
        <f>50000+20000+20000</f>
        <v>90000</v>
      </c>
      <c r="E9" s="28">
        <f>22000</f>
        <v>22000</v>
      </c>
      <c r="F9" s="28">
        <f t="shared" ref="F9" si="12">(D9+I9)-E9</f>
        <v>68000</v>
      </c>
      <c r="G9" s="28">
        <v>0</v>
      </c>
      <c r="H9" s="29">
        <v>0</v>
      </c>
      <c r="I9" s="28">
        <f t="shared" ref="I9" si="13">D9*H9</f>
        <v>0</v>
      </c>
      <c r="J9" s="4">
        <v>46042</v>
      </c>
      <c r="K9" s="4">
        <v>46048</v>
      </c>
      <c r="L9" s="4"/>
      <c r="M9" s="1" t="s">
        <v>14</v>
      </c>
    </row>
    <row r="10" spans="1:17" x14ac:dyDescent="0.25">
      <c r="A10" s="1">
        <v>9</v>
      </c>
      <c r="B10" s="39" t="s">
        <v>20</v>
      </c>
      <c r="C10" s="1" t="s">
        <v>3</v>
      </c>
      <c r="D10" s="28">
        <v>100000</v>
      </c>
      <c r="E10" s="28">
        <f>13000+83000</f>
        <v>96000</v>
      </c>
      <c r="F10" s="28">
        <f t="shared" ref="F10" si="14">(D10+I10)-E10</f>
        <v>4000</v>
      </c>
      <c r="G10" s="28">
        <v>0</v>
      </c>
      <c r="H10" s="29">
        <v>0</v>
      </c>
      <c r="I10" s="28">
        <f t="shared" ref="I10" si="15">D10*H10</f>
        <v>0</v>
      </c>
      <c r="J10" s="4">
        <v>46042</v>
      </c>
      <c r="K10" s="4">
        <v>46048</v>
      </c>
      <c r="L10" s="4"/>
      <c r="M10" s="1" t="s">
        <v>14</v>
      </c>
    </row>
    <row r="11" spans="1:17" x14ac:dyDescent="0.25">
      <c r="A11" s="1">
        <v>10</v>
      </c>
      <c r="B11" s="41" t="s">
        <v>26</v>
      </c>
      <c r="C11" s="42" t="s">
        <v>30</v>
      </c>
      <c r="D11" s="43">
        <v>5000</v>
      </c>
      <c r="E11" s="43">
        <v>5000</v>
      </c>
      <c r="F11" s="43">
        <f t="shared" ref="F11" si="16">(D11+I11)-E11</f>
        <v>0</v>
      </c>
      <c r="G11" s="43">
        <v>0</v>
      </c>
      <c r="H11" s="44">
        <v>0</v>
      </c>
      <c r="I11" s="43">
        <f t="shared" ref="I11" si="17">D11*H11</f>
        <v>0</v>
      </c>
      <c r="J11" s="45">
        <v>46043</v>
      </c>
      <c r="K11" s="45">
        <v>46048</v>
      </c>
      <c r="L11" s="45"/>
      <c r="M11" s="42" t="s">
        <v>70</v>
      </c>
    </row>
    <row r="12" spans="1:17" x14ac:dyDescent="0.25">
      <c r="A12" s="1">
        <v>11</v>
      </c>
      <c r="B12" s="24" t="s">
        <v>39</v>
      </c>
      <c r="C12" s="1" t="s">
        <v>30</v>
      </c>
      <c r="D12" s="28">
        <v>150000</v>
      </c>
      <c r="E12" s="28">
        <v>100000</v>
      </c>
      <c r="F12" s="28">
        <f t="shared" ref="F12:F16" si="18">(D12+I12)-E12</f>
        <v>50000</v>
      </c>
      <c r="G12" s="28">
        <v>0</v>
      </c>
      <c r="H12" s="29">
        <v>0</v>
      </c>
      <c r="I12" s="28">
        <f t="shared" ref="I12:I16" si="19">D12*H12</f>
        <v>0</v>
      </c>
      <c r="J12" s="4">
        <v>46043</v>
      </c>
      <c r="K12" s="4">
        <v>46049</v>
      </c>
      <c r="L12" s="4"/>
      <c r="M12" s="1" t="s">
        <v>14</v>
      </c>
    </row>
    <row r="13" spans="1:17" x14ac:dyDescent="0.25">
      <c r="A13" s="1">
        <v>12</v>
      </c>
      <c r="B13" s="24" t="s">
        <v>25</v>
      </c>
      <c r="C13" s="1" t="s">
        <v>57</v>
      </c>
      <c r="D13" s="28">
        <v>190000</v>
      </c>
      <c r="E13" s="28">
        <f>150000</f>
        <v>150000</v>
      </c>
      <c r="F13" s="28">
        <f t="shared" si="18"/>
        <v>40000</v>
      </c>
      <c r="G13" s="28">
        <v>0</v>
      </c>
      <c r="H13" s="29">
        <v>0</v>
      </c>
      <c r="I13" s="28">
        <f t="shared" si="19"/>
        <v>0</v>
      </c>
      <c r="J13" s="4">
        <v>46043</v>
      </c>
      <c r="K13" s="4">
        <v>46049</v>
      </c>
      <c r="L13" s="4"/>
      <c r="M13" s="1" t="s">
        <v>14</v>
      </c>
    </row>
    <row r="14" spans="1:17" x14ac:dyDescent="0.25">
      <c r="A14" s="1">
        <v>13</v>
      </c>
      <c r="B14" s="24" t="s">
        <v>42</v>
      </c>
      <c r="C14" s="1" t="s">
        <v>3</v>
      </c>
      <c r="D14" s="28">
        <v>50000</v>
      </c>
      <c r="E14" s="28">
        <v>0</v>
      </c>
      <c r="F14" s="28">
        <f t="shared" si="18"/>
        <v>50000</v>
      </c>
      <c r="G14" s="28">
        <v>0</v>
      </c>
      <c r="H14" s="29">
        <v>0</v>
      </c>
      <c r="I14" s="28">
        <f t="shared" si="19"/>
        <v>0</v>
      </c>
      <c r="J14" s="4">
        <v>46043</v>
      </c>
      <c r="K14" s="4">
        <v>46049</v>
      </c>
      <c r="L14" s="4"/>
      <c r="M14" s="1" t="s">
        <v>14</v>
      </c>
    </row>
    <row r="15" spans="1:17" x14ac:dyDescent="0.25">
      <c r="A15" s="1">
        <v>14</v>
      </c>
      <c r="B15" s="41" t="s">
        <v>26</v>
      </c>
      <c r="C15" s="42" t="s">
        <v>30</v>
      </c>
      <c r="D15" s="43">
        <v>10000</v>
      </c>
      <c r="E15" s="43">
        <v>10000</v>
      </c>
      <c r="F15" s="43">
        <f t="shared" si="18"/>
        <v>0</v>
      </c>
      <c r="G15" s="43">
        <v>0</v>
      </c>
      <c r="H15" s="44">
        <v>0</v>
      </c>
      <c r="I15" s="43">
        <f t="shared" si="19"/>
        <v>0</v>
      </c>
      <c r="J15" s="45">
        <v>46043</v>
      </c>
      <c r="K15" s="45">
        <v>46048</v>
      </c>
      <c r="L15" s="45"/>
      <c r="M15" s="42" t="s">
        <v>70</v>
      </c>
    </row>
    <row r="16" spans="1:17" x14ac:dyDescent="0.25">
      <c r="A16" s="1">
        <v>15</v>
      </c>
      <c r="B16" s="41" t="s">
        <v>26</v>
      </c>
      <c r="C16" s="42" t="s">
        <v>24</v>
      </c>
      <c r="D16" s="43">
        <v>10000</v>
      </c>
      <c r="E16" s="43">
        <v>10000</v>
      </c>
      <c r="F16" s="43">
        <f t="shared" si="18"/>
        <v>0</v>
      </c>
      <c r="G16" s="43">
        <v>0</v>
      </c>
      <c r="H16" s="44">
        <v>0</v>
      </c>
      <c r="I16" s="43">
        <f t="shared" si="19"/>
        <v>0</v>
      </c>
      <c r="J16" s="45">
        <v>46043</v>
      </c>
      <c r="K16" s="45">
        <v>46048</v>
      </c>
      <c r="L16" s="45"/>
      <c r="M16" s="42" t="s">
        <v>70</v>
      </c>
    </row>
    <row r="17" spans="1:13" x14ac:dyDescent="0.25">
      <c r="A17" s="1">
        <v>16</v>
      </c>
      <c r="B17" s="24" t="s">
        <v>67</v>
      </c>
      <c r="C17" s="1" t="s">
        <v>3</v>
      </c>
      <c r="D17" s="28">
        <v>120000</v>
      </c>
      <c r="E17" s="28">
        <v>100000</v>
      </c>
      <c r="F17" s="28">
        <f t="shared" ref="F17" si="20">(D17+I17)-E17</f>
        <v>20000</v>
      </c>
      <c r="G17" s="28">
        <v>0</v>
      </c>
      <c r="H17" s="29">
        <v>0</v>
      </c>
      <c r="I17" s="28">
        <f t="shared" ref="I17" si="21">D17*H17</f>
        <v>0</v>
      </c>
      <c r="J17" s="4">
        <v>46044</v>
      </c>
      <c r="K17" s="4">
        <v>46050</v>
      </c>
      <c r="L17" s="4"/>
      <c r="M17" s="1" t="s">
        <v>14</v>
      </c>
    </row>
    <row r="18" spans="1:13" x14ac:dyDescent="0.25">
      <c r="A18" s="1">
        <v>17</v>
      </c>
      <c r="B18" s="24" t="s">
        <v>26</v>
      </c>
      <c r="C18" s="1" t="s">
        <v>30</v>
      </c>
      <c r="D18" s="28">
        <v>100000</v>
      </c>
      <c r="E18" s="28">
        <f>75000</f>
        <v>75000</v>
      </c>
      <c r="F18" s="28">
        <f t="shared" ref="F18" si="22">(D18+I18)-E18</f>
        <v>25000</v>
      </c>
      <c r="G18" s="28">
        <v>0</v>
      </c>
      <c r="H18" s="29">
        <v>0</v>
      </c>
      <c r="I18" s="28">
        <f t="shared" ref="I18" si="23">D18*H18</f>
        <v>0</v>
      </c>
      <c r="J18" s="4">
        <v>46045</v>
      </c>
      <c r="K18" s="4">
        <v>46051</v>
      </c>
      <c r="L18" s="4"/>
      <c r="M18" s="1" t="s">
        <v>14</v>
      </c>
    </row>
    <row r="19" spans="1:13" x14ac:dyDescent="0.25">
      <c r="A19" s="1">
        <v>18</v>
      </c>
      <c r="B19" s="24" t="s">
        <v>42</v>
      </c>
      <c r="C19" s="1" t="s">
        <v>30</v>
      </c>
      <c r="D19" s="28">
        <v>100000</v>
      </c>
      <c r="E19" s="28">
        <v>0</v>
      </c>
      <c r="F19" s="28">
        <f t="shared" ref="F19:F20" si="24">(D19+I19)-E19</f>
        <v>100000</v>
      </c>
      <c r="G19" s="28">
        <v>0</v>
      </c>
      <c r="H19" s="29">
        <v>0</v>
      </c>
      <c r="I19" s="28">
        <f t="shared" ref="I19:I20" si="25">D19*H19</f>
        <v>0</v>
      </c>
      <c r="J19" s="4">
        <v>46045</v>
      </c>
      <c r="K19" s="4">
        <v>46051</v>
      </c>
      <c r="L19" s="4"/>
      <c r="M19" s="1" t="s">
        <v>14</v>
      </c>
    </row>
    <row r="20" spans="1:13" x14ac:dyDescent="0.25">
      <c r="A20" s="1">
        <v>19</v>
      </c>
      <c r="B20" s="41" t="s">
        <v>17</v>
      </c>
      <c r="C20" s="42" t="s">
        <v>57</v>
      </c>
      <c r="D20" s="43">
        <v>60000</v>
      </c>
      <c r="E20" s="43">
        <v>60000</v>
      </c>
      <c r="F20" s="43">
        <f t="shared" si="24"/>
        <v>0</v>
      </c>
      <c r="G20" s="43">
        <v>0</v>
      </c>
      <c r="H20" s="44">
        <v>0</v>
      </c>
      <c r="I20" s="43">
        <f t="shared" si="25"/>
        <v>0</v>
      </c>
      <c r="J20" s="45">
        <v>46045</v>
      </c>
      <c r="K20" s="45">
        <v>46048</v>
      </c>
      <c r="L20" s="45"/>
      <c r="M20" s="42" t="s">
        <v>70</v>
      </c>
    </row>
    <row r="21" spans="1:13" x14ac:dyDescent="0.25">
      <c r="A21" s="1">
        <v>20</v>
      </c>
      <c r="B21" s="24" t="s">
        <v>67</v>
      </c>
      <c r="C21" s="1" t="s">
        <v>3</v>
      </c>
      <c r="D21" s="28">
        <v>200000</v>
      </c>
      <c r="E21" s="28">
        <v>0</v>
      </c>
      <c r="F21" s="28">
        <f t="shared" ref="F21" si="26">(D21+I21)-E21</f>
        <v>200000</v>
      </c>
      <c r="G21" s="28">
        <v>0</v>
      </c>
      <c r="H21" s="29">
        <v>0</v>
      </c>
      <c r="I21" s="28">
        <f t="shared" ref="I21" si="27">D21*H21</f>
        <v>0</v>
      </c>
      <c r="J21" s="4">
        <v>46045</v>
      </c>
      <c r="K21" s="4">
        <v>46051</v>
      </c>
      <c r="L21" s="4"/>
      <c r="M21" s="1" t="s">
        <v>14</v>
      </c>
    </row>
    <row r="22" spans="1:13" x14ac:dyDescent="0.25">
      <c r="A22" s="1">
        <v>21</v>
      </c>
      <c r="B22" s="24" t="s">
        <v>21</v>
      </c>
      <c r="C22" s="1" t="s">
        <v>30</v>
      </c>
      <c r="D22" s="28">
        <v>100000</v>
      </c>
      <c r="E22" s="28">
        <f>20000</f>
        <v>20000</v>
      </c>
      <c r="F22" s="28">
        <f t="shared" ref="F22" si="28">(D22+I22)-E22</f>
        <v>80000</v>
      </c>
      <c r="G22" s="28">
        <v>0</v>
      </c>
      <c r="H22" s="29">
        <v>0</v>
      </c>
      <c r="I22" s="28">
        <f t="shared" ref="I22" si="29">D22*H22</f>
        <v>0</v>
      </c>
      <c r="J22" s="4">
        <v>46046</v>
      </c>
      <c r="K22" s="4">
        <v>46052</v>
      </c>
      <c r="L22" s="4"/>
      <c r="M22" s="1" t="s">
        <v>14</v>
      </c>
    </row>
    <row r="23" spans="1:13" x14ac:dyDescent="0.25">
      <c r="A23" s="1">
        <v>22</v>
      </c>
      <c r="B23" s="24" t="s">
        <v>36</v>
      </c>
      <c r="C23" s="1" t="s">
        <v>3</v>
      </c>
      <c r="D23" s="28">
        <v>20000</v>
      </c>
      <c r="E23" s="28">
        <v>0</v>
      </c>
      <c r="F23" s="28">
        <f t="shared" ref="F23" si="30">(D23+I23)-E23</f>
        <v>20000</v>
      </c>
      <c r="G23" s="28">
        <v>0</v>
      </c>
      <c r="H23" s="29">
        <v>0</v>
      </c>
      <c r="I23" s="28">
        <f t="shared" ref="I23" si="31">D23*H23</f>
        <v>0</v>
      </c>
      <c r="J23" s="4">
        <v>46046</v>
      </c>
      <c r="K23" s="4">
        <v>46052</v>
      </c>
      <c r="L23" s="4"/>
      <c r="M23" s="1" t="s">
        <v>14</v>
      </c>
    </row>
    <row r="24" spans="1:13" x14ac:dyDescent="0.25">
      <c r="A24" s="1">
        <v>23</v>
      </c>
      <c r="B24" s="24" t="s">
        <v>19</v>
      </c>
      <c r="C24" s="1" t="s">
        <v>16</v>
      </c>
      <c r="D24" s="28">
        <v>200000</v>
      </c>
      <c r="E24" s="28">
        <v>0</v>
      </c>
      <c r="F24" s="28">
        <f t="shared" ref="F24:F25" si="32">(D24+I24)-E24</f>
        <v>200000</v>
      </c>
      <c r="G24" s="28">
        <v>0</v>
      </c>
      <c r="H24" s="29">
        <v>0</v>
      </c>
      <c r="I24" s="28">
        <f t="shared" ref="I24:I25" si="33">D24*H24</f>
        <v>0</v>
      </c>
      <c r="J24" s="4">
        <v>46047</v>
      </c>
      <c r="K24" s="4">
        <v>46053</v>
      </c>
      <c r="L24" s="4"/>
      <c r="M24" s="1" t="s">
        <v>14</v>
      </c>
    </row>
    <row r="25" spans="1:13" x14ac:dyDescent="0.25">
      <c r="A25" s="1">
        <v>24</v>
      </c>
      <c r="B25" s="41" t="s">
        <v>65</v>
      </c>
      <c r="C25" s="42" t="s">
        <v>16</v>
      </c>
      <c r="D25" s="43">
        <v>100000</v>
      </c>
      <c r="E25" s="43">
        <v>100000</v>
      </c>
      <c r="F25" s="43">
        <f t="shared" si="32"/>
        <v>0</v>
      </c>
      <c r="G25" s="43">
        <v>0</v>
      </c>
      <c r="H25" s="44">
        <v>0</v>
      </c>
      <c r="I25" s="43">
        <f t="shared" si="33"/>
        <v>0</v>
      </c>
      <c r="J25" s="45">
        <v>46047</v>
      </c>
      <c r="K25" s="45">
        <v>46048</v>
      </c>
      <c r="L25" s="45"/>
      <c r="M25" s="42" t="s">
        <v>70</v>
      </c>
    </row>
    <row r="26" spans="1:13" x14ac:dyDescent="0.25">
      <c r="A26" s="1">
        <v>25</v>
      </c>
      <c r="B26" s="41" t="s">
        <v>15</v>
      </c>
      <c r="C26" s="42" t="s">
        <v>30</v>
      </c>
      <c r="D26" s="43">
        <v>50000</v>
      </c>
      <c r="E26" s="43">
        <v>50000</v>
      </c>
      <c r="F26" s="43">
        <v>50000</v>
      </c>
      <c r="G26" s="43">
        <v>0</v>
      </c>
      <c r="H26" s="44">
        <v>0</v>
      </c>
      <c r="I26" s="43">
        <f t="shared" ref="I26" si="34">D26*H26</f>
        <v>0</v>
      </c>
      <c r="J26" s="45">
        <v>46047</v>
      </c>
      <c r="K26" s="45">
        <v>46048</v>
      </c>
      <c r="L26" s="45"/>
      <c r="M26" s="42" t="s">
        <v>70</v>
      </c>
    </row>
    <row r="27" spans="1:13" x14ac:dyDescent="0.25">
      <c r="A27" s="1">
        <v>26</v>
      </c>
      <c r="B27" s="24"/>
      <c r="C27" s="1"/>
      <c r="D27" s="28"/>
      <c r="E27" s="28"/>
      <c r="F27" s="28"/>
      <c r="G27" s="28"/>
      <c r="H27" s="29"/>
      <c r="I27" s="28"/>
      <c r="J27" s="4"/>
      <c r="K27" s="4"/>
      <c r="L27" s="4"/>
      <c r="M27" s="1"/>
    </row>
    <row r="28" spans="1:13" x14ac:dyDescent="0.25">
      <c r="A28" s="1">
        <v>27</v>
      </c>
      <c r="B28" s="24"/>
      <c r="C28" s="1"/>
      <c r="D28" s="28"/>
      <c r="E28" s="28"/>
      <c r="F28" s="28"/>
      <c r="G28" s="28"/>
      <c r="H28" s="29"/>
      <c r="I28" s="28"/>
      <c r="J28" s="4"/>
      <c r="K28" s="4"/>
      <c r="L28" s="4"/>
      <c r="M28" s="1"/>
    </row>
    <row r="29" spans="1:13" x14ac:dyDescent="0.25">
      <c r="A29" s="1">
        <v>28</v>
      </c>
      <c r="B29" s="24"/>
      <c r="C29" s="1"/>
      <c r="D29" s="28"/>
      <c r="E29" s="28"/>
      <c r="F29" s="28"/>
      <c r="G29" s="28"/>
      <c r="H29" s="29"/>
      <c r="I29" s="28"/>
      <c r="J29" s="4"/>
      <c r="K29" s="4"/>
      <c r="L29" s="4"/>
      <c r="M29" s="1"/>
    </row>
    <row r="30" spans="1:13" x14ac:dyDescent="0.25">
      <c r="A30" s="1">
        <v>29</v>
      </c>
      <c r="B30" s="24"/>
      <c r="C30" s="1"/>
      <c r="D30" s="37"/>
      <c r="E30" s="37"/>
      <c r="F30" s="37"/>
      <c r="G30" s="37"/>
      <c r="H30" s="24"/>
      <c r="I30" s="37"/>
      <c r="J30" s="24"/>
      <c r="K30" s="38"/>
      <c r="L30" s="38"/>
      <c r="M30" s="24"/>
    </row>
    <row r="31" spans="1:13" ht="24" x14ac:dyDescent="0.25">
      <c r="B31" s="34" t="s">
        <v>33</v>
      </c>
      <c r="C31" s="34"/>
      <c r="D31" s="47" t="s">
        <v>34</v>
      </c>
      <c r="E31" s="47"/>
      <c r="F31" s="47"/>
      <c r="G31" s="47"/>
    </row>
    <row r="32" spans="1:13" x14ac:dyDescent="0.25">
      <c r="D32" s="46" t="s">
        <v>28</v>
      </c>
      <c r="E32" s="46"/>
      <c r="F32" s="35">
        <f>SUM(D2:D30)</f>
        <v>2387000</v>
      </c>
      <c r="G32" s="36"/>
      <c r="J32" s="36"/>
    </row>
    <row r="33" spans="4:13" x14ac:dyDescent="0.25">
      <c r="D33" s="46" t="s">
        <v>29</v>
      </c>
      <c r="E33" s="46"/>
      <c r="F33" s="35">
        <f>SUM(E2:E30)</f>
        <v>993000</v>
      </c>
      <c r="G33" s="36"/>
      <c r="M33" s="25" t="s">
        <v>41</v>
      </c>
    </row>
    <row r="34" spans="4:13" x14ac:dyDescent="0.25">
      <c r="D34" s="46" t="s">
        <v>66</v>
      </c>
      <c r="E34" s="46"/>
      <c r="F34" s="35">
        <f>F33-F32</f>
        <v>-1394000</v>
      </c>
      <c r="G34" s="36"/>
    </row>
    <row r="35" spans="4:13" x14ac:dyDescent="0.25">
      <c r="D35" s="46" t="s">
        <v>27</v>
      </c>
      <c r="E35" s="46"/>
      <c r="F35" s="35">
        <f>SUM(F2:F30)</f>
        <v>1584200</v>
      </c>
    </row>
    <row r="36" spans="4:13" x14ac:dyDescent="0.25">
      <c r="G36" s="36"/>
    </row>
    <row r="37" spans="4:13" x14ac:dyDescent="0.25">
      <c r="D37" s="25" t="s">
        <v>62</v>
      </c>
      <c r="E37" s="28">
        <f>150000+100000+400000</f>
        <v>650000</v>
      </c>
      <c r="F37" s="36"/>
      <c r="G37" s="36"/>
    </row>
    <row r="38" spans="4:13" x14ac:dyDescent="0.25">
      <c r="D38" s="25" t="s">
        <v>69</v>
      </c>
      <c r="E38" s="28">
        <v>0</v>
      </c>
      <c r="F38" s="36"/>
      <c r="G38" s="36"/>
    </row>
    <row r="39" spans="4:13" x14ac:dyDescent="0.25">
      <c r="F39" s="36"/>
    </row>
    <row r="40" spans="4:13" x14ac:dyDescent="0.25">
      <c r="F40" s="40"/>
    </row>
    <row r="41" spans="4:13" x14ac:dyDescent="0.25">
      <c r="F41" s="36"/>
    </row>
  </sheetData>
  <autoFilter ref="A1:M34" xr:uid="{B426C2E0-1FB2-4505-A56E-E149D9D304FF}"/>
  <mergeCells count="5">
    <mergeCell ref="D32:E32"/>
    <mergeCell ref="D33:E33"/>
    <mergeCell ref="D35:E35"/>
    <mergeCell ref="D31:G31"/>
    <mergeCell ref="D34:E34"/>
  </mergeCells>
  <phoneticPr fontId="1" type="noConversion"/>
  <hyperlinks>
    <hyperlink ref="D31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211"/>
  <sheetViews>
    <sheetView topLeftCell="A195" workbookViewId="0">
      <selection activeCell="D209" sqref="D209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7.140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58</v>
      </c>
    </row>
    <row r="128" spans="1:4" ht="18.75" x14ac:dyDescent="0.25">
      <c r="A128" s="21">
        <v>46022</v>
      </c>
      <c r="B128" s="19" t="s">
        <v>56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36</v>
      </c>
      <c r="C140" s="20">
        <v>80000</v>
      </c>
      <c r="D140" s="22" t="s">
        <v>30</v>
      </c>
    </row>
    <row r="141" spans="1:4" ht="18.75" x14ac:dyDescent="0.25">
      <c r="A141" s="21">
        <v>46027</v>
      </c>
      <c r="B141" s="19" t="s">
        <v>20</v>
      </c>
      <c r="C141" s="20">
        <v>100000</v>
      </c>
      <c r="D141" s="22" t="s">
        <v>3</v>
      </c>
    </row>
    <row r="142" spans="1:4" ht="18.75" x14ac:dyDescent="0.25">
      <c r="A142" s="21">
        <v>46028</v>
      </c>
      <c r="B142" s="19" t="s">
        <v>19</v>
      </c>
      <c r="C142" s="20">
        <v>170000</v>
      </c>
      <c r="D142" s="22" t="s">
        <v>16</v>
      </c>
    </row>
    <row r="143" spans="1:4" ht="18.75" x14ac:dyDescent="0.25">
      <c r="A143" s="21">
        <v>46029</v>
      </c>
      <c r="B143" s="19" t="s">
        <v>19</v>
      </c>
      <c r="C143" s="20">
        <v>100000</v>
      </c>
      <c r="D143" s="22" t="s">
        <v>16</v>
      </c>
    </row>
    <row r="144" spans="1:4" ht="18.75" x14ac:dyDescent="0.25">
      <c r="A144" s="21">
        <v>46030</v>
      </c>
      <c r="B144" s="19" t="s">
        <v>36</v>
      </c>
      <c r="C144" s="20">
        <v>20000</v>
      </c>
      <c r="D144" s="22" t="s">
        <v>30</v>
      </c>
    </row>
    <row r="145" spans="1:4" ht="18.75" x14ac:dyDescent="0.25">
      <c r="A145" s="21">
        <v>46030</v>
      </c>
      <c r="B145" s="19" t="s">
        <v>17</v>
      </c>
      <c r="C145" s="20">
        <v>50000</v>
      </c>
      <c r="D145" s="22" t="s">
        <v>57</v>
      </c>
    </row>
    <row r="146" spans="1:4" ht="18.75" x14ac:dyDescent="0.25">
      <c r="A146" s="21">
        <v>46030</v>
      </c>
      <c r="B146" s="19" t="s">
        <v>56</v>
      </c>
      <c r="C146" s="20">
        <v>20000</v>
      </c>
      <c r="D146" s="22" t="s">
        <v>3</v>
      </c>
    </row>
    <row r="147" spans="1:4" ht="18.75" x14ac:dyDescent="0.25">
      <c r="A147" s="21">
        <v>46030</v>
      </c>
      <c r="B147" s="19" t="s">
        <v>42</v>
      </c>
      <c r="C147" s="20">
        <v>20000</v>
      </c>
      <c r="D147" s="22" t="s">
        <v>24</v>
      </c>
    </row>
    <row r="148" spans="1:4" ht="18.75" x14ac:dyDescent="0.25">
      <c r="A148" s="21">
        <v>46031</v>
      </c>
      <c r="B148" s="19" t="s">
        <v>19</v>
      </c>
      <c r="C148" s="20">
        <v>150000</v>
      </c>
      <c r="D148" s="22" t="s">
        <v>16</v>
      </c>
    </row>
    <row r="149" spans="1:4" ht="18.75" x14ac:dyDescent="0.25">
      <c r="A149" s="21">
        <v>46031</v>
      </c>
      <c r="B149" s="19" t="s">
        <v>22</v>
      </c>
      <c r="C149" s="20">
        <v>50000</v>
      </c>
      <c r="D149" s="22" t="s">
        <v>3</v>
      </c>
    </row>
    <row r="150" spans="1:4" ht="18.75" x14ac:dyDescent="0.25">
      <c r="A150" s="21">
        <v>46031</v>
      </c>
      <c r="B150" s="19" t="s">
        <v>20</v>
      </c>
      <c r="C150" s="20">
        <v>20000</v>
      </c>
      <c r="D150" s="22" t="s">
        <v>3</v>
      </c>
    </row>
    <row r="151" spans="1:4" ht="18.75" x14ac:dyDescent="0.25">
      <c r="A151" s="21">
        <v>46031</v>
      </c>
      <c r="B151" s="19" t="s">
        <v>8</v>
      </c>
      <c r="C151" s="20">
        <v>20000</v>
      </c>
      <c r="D151" s="22" t="s">
        <v>3</v>
      </c>
    </row>
    <row r="152" spans="1:4" ht="18.75" x14ac:dyDescent="0.25">
      <c r="A152" s="21">
        <v>46031</v>
      </c>
      <c r="B152" s="19" t="s">
        <v>55</v>
      </c>
      <c r="C152" s="20">
        <v>60000</v>
      </c>
      <c r="D152" s="22" t="s">
        <v>3</v>
      </c>
    </row>
    <row r="153" spans="1:4" ht="18.75" x14ac:dyDescent="0.25">
      <c r="A153" s="21">
        <v>46031</v>
      </c>
      <c r="B153" s="19" t="s">
        <v>61</v>
      </c>
      <c r="C153" s="20">
        <v>20000</v>
      </c>
      <c r="D153" s="22" t="s">
        <v>3</v>
      </c>
    </row>
    <row r="154" spans="1:4" ht="18.75" x14ac:dyDescent="0.25">
      <c r="A154" s="21">
        <v>46032</v>
      </c>
      <c r="B154" s="19" t="s">
        <v>22</v>
      </c>
      <c r="C154" s="20">
        <v>20000</v>
      </c>
      <c r="D154" s="22" t="s">
        <v>24</v>
      </c>
    </row>
    <row r="155" spans="1:4" ht="18.75" x14ac:dyDescent="0.25">
      <c r="A155" s="21">
        <v>46033</v>
      </c>
      <c r="B155" s="19" t="s">
        <v>22</v>
      </c>
      <c r="C155" s="20">
        <v>100000</v>
      </c>
      <c r="D155" s="22" t="s">
        <v>3</v>
      </c>
    </row>
    <row r="156" spans="1:4" ht="18.75" x14ac:dyDescent="0.25">
      <c r="A156" s="21">
        <v>46033</v>
      </c>
      <c r="B156" s="19" t="s">
        <v>19</v>
      </c>
      <c r="C156" s="20">
        <v>500000</v>
      </c>
      <c r="D156" s="22" t="s">
        <v>16</v>
      </c>
    </row>
    <row r="157" spans="1:4" ht="18.75" x14ac:dyDescent="0.25">
      <c r="A157" s="21">
        <v>46033</v>
      </c>
      <c r="B157" s="19" t="s">
        <v>8</v>
      </c>
      <c r="C157" s="20">
        <v>20000</v>
      </c>
      <c r="D157" s="22" t="s">
        <v>3</v>
      </c>
    </row>
    <row r="158" spans="1:4" ht="18.75" x14ac:dyDescent="0.25">
      <c r="A158" s="21">
        <v>46034</v>
      </c>
      <c r="B158" s="19" t="s">
        <v>19</v>
      </c>
      <c r="C158" s="20">
        <v>50000</v>
      </c>
      <c r="D158" s="22" t="s">
        <v>16</v>
      </c>
    </row>
    <row r="159" spans="1:4" ht="18.75" x14ac:dyDescent="0.25">
      <c r="A159" s="21">
        <v>46035</v>
      </c>
      <c r="B159" s="19" t="s">
        <v>19</v>
      </c>
      <c r="C159" s="20">
        <v>50000</v>
      </c>
      <c r="D159" s="22" t="s">
        <v>16</v>
      </c>
    </row>
    <row r="160" spans="1:4" ht="18.75" x14ac:dyDescent="0.25">
      <c r="A160" s="21">
        <v>46035</v>
      </c>
      <c r="B160" s="19" t="s">
        <v>19</v>
      </c>
      <c r="C160" s="20">
        <v>20000</v>
      </c>
      <c r="D160" s="22" t="s">
        <v>16</v>
      </c>
    </row>
    <row r="161" spans="1:4" ht="18.75" x14ac:dyDescent="0.25">
      <c r="A161" s="21">
        <v>46035</v>
      </c>
      <c r="B161" s="19" t="s">
        <v>20</v>
      </c>
      <c r="C161" s="20">
        <v>20000</v>
      </c>
      <c r="D161" s="22" t="s">
        <v>24</v>
      </c>
    </row>
    <row r="162" spans="1:4" ht="18.75" x14ac:dyDescent="0.25">
      <c r="A162" s="21">
        <v>46035</v>
      </c>
      <c r="B162" s="19" t="s">
        <v>55</v>
      </c>
      <c r="C162" s="20">
        <v>20000</v>
      </c>
      <c r="D162" s="22" t="s">
        <v>3</v>
      </c>
    </row>
    <row r="163" spans="1:4" ht="18.75" x14ac:dyDescent="0.25">
      <c r="A163" s="21">
        <v>46035</v>
      </c>
      <c r="B163" s="19" t="s">
        <v>36</v>
      </c>
      <c r="C163" s="20">
        <v>20000</v>
      </c>
      <c r="D163" s="22" t="s">
        <v>24</v>
      </c>
    </row>
    <row r="164" spans="1:4" ht="18.75" x14ac:dyDescent="0.25">
      <c r="A164" s="21">
        <v>46036</v>
      </c>
      <c r="B164" s="19" t="s">
        <v>20</v>
      </c>
      <c r="C164" s="20">
        <v>20000</v>
      </c>
      <c r="D164" s="22" t="s">
        <v>49</v>
      </c>
    </row>
    <row r="165" spans="1:4" ht="18.75" x14ac:dyDescent="0.25">
      <c r="A165" s="21">
        <v>46036</v>
      </c>
      <c r="B165" s="19" t="s">
        <v>19</v>
      </c>
      <c r="C165" s="20">
        <v>50000</v>
      </c>
      <c r="D165" s="22" t="s">
        <v>16</v>
      </c>
    </row>
    <row r="166" spans="1:4" ht="18.75" x14ac:dyDescent="0.25">
      <c r="A166" s="21">
        <v>46037</v>
      </c>
      <c r="B166" s="19" t="s">
        <v>20</v>
      </c>
      <c r="C166" s="20">
        <v>120000</v>
      </c>
      <c r="D166" s="22" t="s">
        <v>3</v>
      </c>
    </row>
    <row r="167" spans="1:4" ht="18.75" x14ac:dyDescent="0.25">
      <c r="A167" s="21">
        <v>46037</v>
      </c>
      <c r="B167" s="19" t="s">
        <v>8</v>
      </c>
      <c r="C167" s="20">
        <v>130000</v>
      </c>
      <c r="D167" s="22" t="s">
        <v>3</v>
      </c>
    </row>
    <row r="168" spans="1:4" ht="18.75" x14ac:dyDescent="0.25">
      <c r="A168" s="21">
        <v>46037</v>
      </c>
      <c r="B168" s="19" t="s">
        <v>56</v>
      </c>
      <c r="C168" s="20">
        <v>50000</v>
      </c>
      <c r="D168" s="22" t="s">
        <v>3</v>
      </c>
    </row>
    <row r="169" spans="1:4" ht="18.75" x14ac:dyDescent="0.25">
      <c r="A169" s="21">
        <v>46037</v>
      </c>
      <c r="B169" s="19" t="s">
        <v>22</v>
      </c>
      <c r="C169" s="20">
        <v>100000</v>
      </c>
      <c r="D169" s="22" t="s">
        <v>3</v>
      </c>
    </row>
    <row r="170" spans="1:4" ht="18.75" x14ac:dyDescent="0.25">
      <c r="A170" s="21">
        <v>46038</v>
      </c>
      <c r="B170" s="19" t="s">
        <v>56</v>
      </c>
      <c r="C170" s="20">
        <v>50000</v>
      </c>
      <c r="D170" s="22" t="s">
        <v>3</v>
      </c>
    </row>
    <row r="171" spans="1:4" ht="18.75" x14ac:dyDescent="0.25">
      <c r="A171" s="21">
        <v>46040</v>
      </c>
      <c r="B171" s="19" t="s">
        <v>26</v>
      </c>
      <c r="C171" s="20">
        <v>10000</v>
      </c>
      <c r="D171" s="22" t="s">
        <v>30</v>
      </c>
    </row>
    <row r="172" spans="1:4" ht="18.75" x14ac:dyDescent="0.25">
      <c r="A172" s="21">
        <v>46041</v>
      </c>
      <c r="B172" s="19" t="s">
        <v>36</v>
      </c>
      <c r="C172" s="20">
        <v>20000</v>
      </c>
      <c r="D172" s="22" t="s">
        <v>3</v>
      </c>
    </row>
    <row r="173" spans="1:4" ht="18.75" x14ac:dyDescent="0.25">
      <c r="A173" s="21">
        <v>46041</v>
      </c>
      <c r="B173" s="19" t="s">
        <v>22</v>
      </c>
      <c r="C173" s="20">
        <v>100000</v>
      </c>
      <c r="D173" s="22" t="s">
        <v>57</v>
      </c>
    </row>
    <row r="174" spans="1:4" ht="18.75" x14ac:dyDescent="0.25">
      <c r="A174" s="21">
        <v>46041</v>
      </c>
      <c r="B174" s="19" t="s">
        <v>26</v>
      </c>
      <c r="C174" s="20">
        <v>300000</v>
      </c>
      <c r="D174" s="22" t="s">
        <v>30</v>
      </c>
    </row>
    <row r="175" spans="1:4" ht="18.75" x14ac:dyDescent="0.25">
      <c r="A175" s="21">
        <v>46041</v>
      </c>
      <c r="B175" s="19" t="s">
        <v>22</v>
      </c>
      <c r="C175" s="20">
        <v>100000</v>
      </c>
      <c r="D175" s="22" t="s">
        <v>52</v>
      </c>
    </row>
    <row r="176" spans="1:4" ht="18.75" x14ac:dyDescent="0.25">
      <c r="A176" s="21">
        <v>46041</v>
      </c>
      <c r="B176" s="19" t="s">
        <v>26</v>
      </c>
      <c r="C176" s="20">
        <v>100000</v>
      </c>
      <c r="D176" s="22" t="s">
        <v>30</v>
      </c>
    </row>
    <row r="177" spans="1:4" ht="18.75" x14ac:dyDescent="0.25">
      <c r="A177" s="21">
        <v>46041</v>
      </c>
      <c r="B177" s="19" t="s">
        <v>21</v>
      </c>
      <c r="C177" s="20">
        <v>100000</v>
      </c>
      <c r="D177" s="22" t="s">
        <v>30</v>
      </c>
    </row>
    <row r="178" spans="1:4" ht="18.75" x14ac:dyDescent="0.25">
      <c r="A178" s="21">
        <v>46041</v>
      </c>
      <c r="B178" s="19" t="s">
        <v>22</v>
      </c>
      <c r="C178" s="20">
        <v>20000</v>
      </c>
      <c r="D178" s="22" t="s">
        <v>52</v>
      </c>
    </row>
    <row r="179" spans="1:4" ht="18.75" x14ac:dyDescent="0.25">
      <c r="A179" s="21">
        <v>46041</v>
      </c>
      <c r="B179" s="19" t="s">
        <v>63</v>
      </c>
      <c r="C179" s="20">
        <v>20000</v>
      </c>
      <c r="D179" s="22" t="s">
        <v>3</v>
      </c>
    </row>
    <row r="180" spans="1:4" ht="18.75" x14ac:dyDescent="0.25">
      <c r="A180" s="21">
        <v>46041</v>
      </c>
      <c r="B180" s="19" t="s">
        <v>20</v>
      </c>
      <c r="C180" s="20">
        <v>20000</v>
      </c>
      <c r="D180" s="22" t="s">
        <v>24</v>
      </c>
    </row>
    <row r="181" spans="1:4" ht="18.75" x14ac:dyDescent="0.25">
      <c r="A181" s="21">
        <v>46042</v>
      </c>
      <c r="B181" s="19" t="s">
        <v>22</v>
      </c>
      <c r="C181" s="20">
        <v>20000</v>
      </c>
      <c r="D181" s="22" t="s">
        <v>3</v>
      </c>
    </row>
    <row r="182" spans="1:4" ht="18.75" x14ac:dyDescent="0.25">
      <c r="A182" s="21">
        <v>46042</v>
      </c>
      <c r="B182" s="19" t="s">
        <v>22</v>
      </c>
      <c r="C182" s="20">
        <v>20000</v>
      </c>
      <c r="D182" s="22" t="s">
        <v>52</v>
      </c>
    </row>
    <row r="183" spans="1:4" ht="18.75" x14ac:dyDescent="0.25">
      <c r="A183" s="21">
        <v>46042</v>
      </c>
      <c r="B183" s="19" t="s">
        <v>22</v>
      </c>
      <c r="C183" s="20">
        <v>50000</v>
      </c>
      <c r="D183" s="22" t="s">
        <v>3</v>
      </c>
    </row>
    <row r="184" spans="1:4" ht="18.75" x14ac:dyDescent="0.25">
      <c r="A184" s="21">
        <v>46042</v>
      </c>
      <c r="B184" s="19" t="s">
        <v>20</v>
      </c>
      <c r="C184" s="20">
        <v>100000</v>
      </c>
      <c r="D184" s="22" t="s">
        <v>3</v>
      </c>
    </row>
    <row r="185" spans="1:4" ht="18.75" x14ac:dyDescent="0.25">
      <c r="A185" s="21">
        <v>46043</v>
      </c>
      <c r="B185" s="19" t="s">
        <v>26</v>
      </c>
      <c r="C185" s="20">
        <v>5000</v>
      </c>
      <c r="D185" s="22" t="s">
        <v>30</v>
      </c>
    </row>
    <row r="186" spans="1:4" ht="18.75" x14ac:dyDescent="0.25">
      <c r="A186" s="21">
        <v>46043</v>
      </c>
      <c r="B186" s="19" t="s">
        <v>39</v>
      </c>
      <c r="C186" s="20">
        <v>150000</v>
      </c>
      <c r="D186" s="22" t="s">
        <v>30</v>
      </c>
    </row>
    <row r="187" spans="1:4" ht="18.75" x14ac:dyDescent="0.25">
      <c r="A187" s="21">
        <v>46043</v>
      </c>
      <c r="B187" s="19" t="s">
        <v>39</v>
      </c>
      <c r="C187" s="20">
        <v>150000</v>
      </c>
      <c r="D187" s="22" t="s">
        <v>30</v>
      </c>
    </row>
    <row r="188" spans="1:4" ht="18.75" x14ac:dyDescent="0.25">
      <c r="A188" s="21">
        <v>46043</v>
      </c>
      <c r="B188" s="19" t="s">
        <v>25</v>
      </c>
      <c r="C188" s="20">
        <v>190000</v>
      </c>
      <c r="D188" s="22" t="s">
        <v>57</v>
      </c>
    </row>
    <row r="189" spans="1:4" ht="18.75" x14ac:dyDescent="0.25">
      <c r="A189" s="21">
        <v>46043</v>
      </c>
      <c r="B189" s="19" t="s">
        <v>42</v>
      </c>
      <c r="C189" s="20">
        <v>50000</v>
      </c>
      <c r="D189" s="22" t="s">
        <v>3</v>
      </c>
    </row>
    <row r="190" spans="1:4" ht="18.75" x14ac:dyDescent="0.25">
      <c r="A190" s="21">
        <v>46043</v>
      </c>
      <c r="B190" s="19" t="s">
        <v>65</v>
      </c>
      <c r="C190" s="20">
        <v>50000</v>
      </c>
      <c r="D190" s="22" t="s">
        <v>16</v>
      </c>
    </row>
    <row r="191" spans="1:4" ht="18.75" x14ac:dyDescent="0.25">
      <c r="A191" s="21">
        <v>46043</v>
      </c>
      <c r="B191" s="19" t="s">
        <v>26</v>
      </c>
      <c r="C191" s="20">
        <v>500000</v>
      </c>
      <c r="D191" s="22" t="s">
        <v>30</v>
      </c>
    </row>
    <row r="192" spans="1:4" ht="18.75" x14ac:dyDescent="0.25">
      <c r="A192" s="21">
        <v>46043</v>
      </c>
      <c r="B192" s="19" t="s">
        <v>26</v>
      </c>
      <c r="C192" s="20">
        <v>10000</v>
      </c>
      <c r="D192" s="22" t="s">
        <v>30</v>
      </c>
    </row>
    <row r="193" spans="1:4" ht="18.75" x14ac:dyDescent="0.25">
      <c r="A193" s="21">
        <v>46043</v>
      </c>
      <c r="B193" s="19" t="s">
        <v>26</v>
      </c>
      <c r="C193" s="20">
        <v>10000</v>
      </c>
      <c r="D193" s="22" t="s">
        <v>24</v>
      </c>
    </row>
    <row r="194" spans="1:4" ht="18.75" x14ac:dyDescent="0.25">
      <c r="A194" s="21">
        <v>46043</v>
      </c>
      <c r="B194" s="19" t="s">
        <v>67</v>
      </c>
      <c r="C194" s="20">
        <v>20000</v>
      </c>
      <c r="D194" s="22" t="s">
        <v>3</v>
      </c>
    </row>
    <row r="195" spans="1:4" ht="18.75" x14ac:dyDescent="0.25">
      <c r="A195" s="21">
        <v>46044</v>
      </c>
      <c r="B195" s="19" t="s">
        <v>19</v>
      </c>
      <c r="C195" s="20">
        <v>220000</v>
      </c>
      <c r="D195" s="22" t="s">
        <v>68</v>
      </c>
    </row>
    <row r="196" spans="1:4" ht="18.75" x14ac:dyDescent="0.25">
      <c r="A196" s="21">
        <v>46044</v>
      </c>
      <c r="B196" s="19" t="s">
        <v>19</v>
      </c>
      <c r="C196" s="20">
        <v>220000</v>
      </c>
      <c r="D196" s="22" t="s">
        <v>68</v>
      </c>
    </row>
    <row r="197" spans="1:4" ht="18.75" x14ac:dyDescent="0.25">
      <c r="A197" s="21">
        <v>46044</v>
      </c>
      <c r="B197" s="19" t="s">
        <v>67</v>
      </c>
      <c r="C197" s="20">
        <v>120000</v>
      </c>
      <c r="D197" s="22" t="s">
        <v>3</v>
      </c>
    </row>
    <row r="198" spans="1:4" ht="18.75" x14ac:dyDescent="0.25">
      <c r="A198" s="21">
        <v>46045</v>
      </c>
      <c r="B198" s="19" t="s">
        <v>17</v>
      </c>
      <c r="C198" s="20">
        <v>100000</v>
      </c>
      <c r="D198" s="22" t="s">
        <v>57</v>
      </c>
    </row>
    <row r="199" spans="1:4" ht="18.75" x14ac:dyDescent="0.25">
      <c r="A199" s="21">
        <v>46045</v>
      </c>
      <c r="B199" s="19" t="s">
        <v>19</v>
      </c>
      <c r="C199" s="20">
        <v>50000</v>
      </c>
      <c r="D199" s="22" t="s">
        <v>16</v>
      </c>
    </row>
    <row r="200" spans="1:4" ht="18.75" x14ac:dyDescent="0.25">
      <c r="A200" s="21">
        <v>46045</v>
      </c>
      <c r="B200" s="19" t="s">
        <v>19</v>
      </c>
      <c r="C200" s="20">
        <v>50000</v>
      </c>
      <c r="D200" s="22" t="s">
        <v>16</v>
      </c>
    </row>
    <row r="201" spans="1:4" ht="18.75" x14ac:dyDescent="0.25">
      <c r="A201" s="21">
        <v>46045</v>
      </c>
      <c r="B201" s="19" t="s">
        <v>26</v>
      </c>
      <c r="C201" s="20">
        <v>100000</v>
      </c>
      <c r="D201" s="22" t="s">
        <v>30</v>
      </c>
    </row>
    <row r="202" spans="1:4" ht="18.75" x14ac:dyDescent="0.25">
      <c r="A202" s="21">
        <v>46045</v>
      </c>
      <c r="B202" s="19" t="s">
        <v>17</v>
      </c>
      <c r="C202" s="20">
        <v>60000</v>
      </c>
      <c r="D202" s="22" t="s">
        <v>57</v>
      </c>
    </row>
    <row r="203" spans="1:4" ht="18.75" x14ac:dyDescent="0.25">
      <c r="A203" s="21">
        <v>46045</v>
      </c>
      <c r="B203" s="19" t="s">
        <v>67</v>
      </c>
      <c r="C203" s="20">
        <v>200000</v>
      </c>
      <c r="D203" s="22" t="s">
        <v>3</v>
      </c>
    </row>
    <row r="204" spans="1:4" ht="18.75" x14ac:dyDescent="0.25">
      <c r="A204" s="21">
        <v>46046</v>
      </c>
      <c r="B204" s="19" t="s">
        <v>21</v>
      </c>
      <c r="C204" s="20">
        <v>100000</v>
      </c>
      <c r="D204" s="22" t="s">
        <v>30</v>
      </c>
    </row>
    <row r="205" spans="1:4" ht="18.75" x14ac:dyDescent="0.25">
      <c r="A205" s="21">
        <v>46046</v>
      </c>
      <c r="B205" s="19" t="s">
        <v>36</v>
      </c>
      <c r="C205" s="20">
        <v>20000</v>
      </c>
      <c r="D205" s="22" t="s">
        <v>3</v>
      </c>
    </row>
    <row r="206" spans="1:4" ht="18.75" x14ac:dyDescent="0.25">
      <c r="A206" s="21">
        <v>46047</v>
      </c>
      <c r="B206" s="19" t="s">
        <v>19</v>
      </c>
      <c r="C206" s="20">
        <v>200000</v>
      </c>
      <c r="D206" s="22" t="s">
        <v>16</v>
      </c>
    </row>
    <row r="207" spans="1:4" ht="18.75" x14ac:dyDescent="0.25">
      <c r="A207" s="21">
        <v>46047</v>
      </c>
      <c r="B207" s="19" t="s">
        <v>65</v>
      </c>
      <c r="C207" s="20">
        <v>100000</v>
      </c>
      <c r="D207" s="22" t="s">
        <v>16</v>
      </c>
    </row>
    <row r="208" spans="1:4" ht="18.75" x14ac:dyDescent="0.25">
      <c r="A208" s="21">
        <v>46047</v>
      </c>
      <c r="B208" s="19" t="s">
        <v>15</v>
      </c>
      <c r="C208" s="20">
        <v>50000</v>
      </c>
      <c r="D208" s="22" t="s">
        <v>30</v>
      </c>
    </row>
    <row r="209" spans="1:4" ht="18.75" x14ac:dyDescent="0.25">
      <c r="A209" s="21"/>
      <c r="B209" s="19"/>
      <c r="C209" s="20"/>
      <c r="D209" s="22"/>
    </row>
    <row r="210" spans="1:4" ht="18.75" x14ac:dyDescent="0.25">
      <c r="A210" s="21"/>
      <c r="B210" s="19"/>
      <c r="C210" s="20"/>
      <c r="D210" s="22"/>
    </row>
    <row r="211" spans="1:4" ht="18.75" x14ac:dyDescent="0.25">
      <c r="A211" s="21"/>
      <c r="B211" s="19"/>
      <c r="C211" s="20"/>
      <c r="D21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2026-01-26T09:30:01Z</dcterms:modified>
</cp:coreProperties>
</file>