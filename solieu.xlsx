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435EFFD7-2504-4672-A273-6302238AEED7}" xr6:coauthVersionLast="47" xr6:coauthVersionMax="47" xr10:uidLastSave="{00000000-0000-0000-0000-000000000000}"/>
  <bookViews>
    <workbookView xWindow="-120" yWindow="-120" windowWidth="20730" windowHeight="11160" tabRatio="700" activeTab="1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NỢ'!$A$1:$M$24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3" l="1"/>
  <c r="I17" i="3"/>
  <c r="E16" i="3"/>
  <c r="I15" i="3"/>
  <c r="F15" i="3" s="1"/>
  <c r="I16" i="3"/>
  <c r="D16" i="3"/>
  <c r="E8" i="3"/>
  <c r="I14" i="3"/>
  <c r="F14" i="3" s="1"/>
  <c r="I13" i="3"/>
  <c r="F13" i="3"/>
  <c r="E12" i="3"/>
  <c r="I12" i="3"/>
  <c r="E4" i="3"/>
  <c r="I11" i="3"/>
  <c r="F11" i="3" s="1"/>
  <c r="I10" i="3"/>
  <c r="F10" i="3" s="1"/>
  <c r="I9" i="3"/>
  <c r="F9" i="3" s="1"/>
  <c r="I8" i="3"/>
  <c r="I7" i="3"/>
  <c r="F7" i="3" s="1"/>
  <c r="I6" i="3"/>
  <c r="F6" i="3" s="1"/>
  <c r="I5" i="3"/>
  <c r="F5" i="3" s="1"/>
  <c r="D3" i="3"/>
  <c r="I3" i="3" s="1"/>
  <c r="I4" i="3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F16" i="3" l="1"/>
  <c r="F12" i="3"/>
  <c r="F8" i="3"/>
  <c r="F4" i="3"/>
  <c r="F22" i="3"/>
  <c r="R43" i="4"/>
  <c r="F3" i="3"/>
  <c r="F23" i="3"/>
  <c r="F24" i="3" l="1"/>
</calcChain>
</file>

<file path=xl/sharedStrings.xml><?xml version="1.0" encoding="utf-8"?>
<sst xmlns="http://schemas.openxmlformats.org/spreadsheetml/2006/main" count="364" uniqueCount="63">
  <si>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</si>
  <si>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</si>
  <si>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</si>
  <si>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</si>
  <si>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</si>
  <si>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</si>
  <si>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</si>
  <si>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</si>
  <si>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</si>
  <si>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</si>
  <si>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</si>
  <si>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</si>
  <si>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</si>
  <si>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</si>
  <si>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</si>
  <si>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</si>
  <si>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</si>
  <si>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</si>
  <si>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</si>
  <si>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</si>
  <si>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</si>
  <si>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</si>
  <si>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</si>
  <si>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</si>
  <si>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</si>
  <si>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</si>
  <si>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</si>
  <si>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</si>
  <si>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</si>
  <si>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</si>
  <si>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</si>
  <si>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</si>
  <si>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</si>
  <si>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</si>
  <si>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</si>
  <si>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</si>
  <si>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</si>
  <si>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</si>
  <si>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</si>
  <si>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</si>
  <si>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</si>
  <si>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</si>
  <si>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</si>
  <si>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</si>
  <si>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</si>
  <si>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</si>
  <si>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</si>
  <si>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</si>
  <si>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</si>
  <si>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</si>
  <si>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</si>
  <si>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</si>
  <si>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</si>
  <si>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</si>
  <si>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</si>
  <si>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</si>
  <si>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</si>
  <si>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</si>
  <si>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</si>
  <si>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</si>
  <si>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</si>
  <si>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</si>
  <si>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Đã trả 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</si>
</sst>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0"/>
  <sheetViews>
    <sheetView zoomScale="85" zoomScaleNormal="85" workbookViewId="0">
      <selection activeCell="K22" sqref="K22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455000</v>
      </c>
      <c r="G2" s="32">
        <v>0</v>
      </c>
      <c r="H2" s="33">
        <v>0.3</v>
      </c>
      <c r="I2" s="32">
        <f>(D2*H2)</f>
        <v>105000</v>
      </c>
      <c r="J2" s="16">
        <v>45984</v>
      </c>
      <c r="K2" s="16">
        <v>46039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20</v>
      </c>
      <c r="C4" s="7" t="s">
        <v>16</v>
      </c>
      <c r="D4" s="30">
        <v>100000</v>
      </c>
      <c r="E4" s="30">
        <f>(40000-15000)+23000+50000+2000</f>
        <v>100000</v>
      </c>
      <c r="F4" s="30">
        <f t="shared" ref="F4" si="2">(D4+I4)-E4</f>
        <v>0</v>
      </c>
      <c r="G4" s="30">
        <v>0</v>
      </c>
      <c r="H4" s="31">
        <v>0</v>
      </c>
      <c r="I4" s="30">
        <f t="shared" ref="I4" si="3">D4*H4</f>
        <v>0</v>
      </c>
      <c r="J4" s="8">
        <v>46019</v>
      </c>
      <c r="K4" s="8"/>
      <c r="L4" s="8"/>
      <c r="M4" s="7" t="s">
        <v>14</v>
      </c>
    </row>
    <row r="5" spans="1:17" x14ac:dyDescent="0.25">
      <c r="A5" s="1">
        <v>4</v>
      </c>
      <c r="B5" s="24" t="s">
        <v>59</v>
      </c>
      <c r="C5" s="1" t="s">
        <v>60</v>
      </c>
      <c r="D5" s="28">
        <v>2000</v>
      </c>
      <c r="E5" s="28">
        <v>0</v>
      </c>
      <c r="F5" s="28">
        <f t="shared" ref="F5" si="4">(D5+I5)-E5</f>
        <v>2100</v>
      </c>
      <c r="G5" s="28">
        <v>0</v>
      </c>
      <c r="H5" s="29">
        <v>0.05</v>
      </c>
      <c r="I5" s="28">
        <f t="shared" ref="I5" si="5">D5*H5</f>
        <v>100</v>
      </c>
      <c r="J5" s="4">
        <v>46022</v>
      </c>
      <c r="K5" s="4">
        <v>46035</v>
      </c>
      <c r="L5" s="4"/>
      <c r="M5" s="1" t="s">
        <v>14</v>
      </c>
    </row>
    <row r="6" spans="1:17" x14ac:dyDescent="0.25">
      <c r="A6" s="1">
        <v>5</v>
      </c>
      <c r="B6" s="24" t="s">
        <v>22</v>
      </c>
      <c r="C6" s="1" t="s">
        <v>52</v>
      </c>
      <c r="D6" s="28">
        <v>5000</v>
      </c>
      <c r="E6" s="28">
        <v>0</v>
      </c>
      <c r="F6" s="28">
        <f t="shared" ref="F6" si="6">(D6+I6)-E6</f>
        <v>5000</v>
      </c>
      <c r="G6" s="28">
        <v>0</v>
      </c>
      <c r="H6" s="29">
        <v>0</v>
      </c>
      <c r="I6" s="28">
        <f t="shared" ref="I6" si="7">D6*H6</f>
        <v>0</v>
      </c>
      <c r="J6" s="4">
        <v>46029</v>
      </c>
      <c r="K6" s="4">
        <v>46035</v>
      </c>
      <c r="L6" s="4"/>
      <c r="M6" s="1" t="s">
        <v>14</v>
      </c>
    </row>
    <row r="7" spans="1:17" x14ac:dyDescent="0.25">
      <c r="A7" s="1">
        <v>6</v>
      </c>
      <c r="B7" s="24" t="s">
        <v>22</v>
      </c>
      <c r="C7" s="1" t="s">
        <v>3</v>
      </c>
      <c r="D7" s="28">
        <v>50000</v>
      </c>
      <c r="E7" s="28">
        <v>0</v>
      </c>
      <c r="F7" s="28">
        <f t="shared" ref="F7" si="8">(D7+I7)-E7</f>
        <v>50000</v>
      </c>
      <c r="G7" s="28">
        <v>0</v>
      </c>
      <c r="H7" s="29">
        <v>0</v>
      </c>
      <c r="I7" s="28">
        <f t="shared" ref="I7" si="9">D7*H7</f>
        <v>0</v>
      </c>
      <c r="J7" s="4">
        <v>46031</v>
      </c>
      <c r="K7" s="4">
        <v>46037</v>
      </c>
      <c r="L7" s="4"/>
      <c r="M7" s="1" t="s">
        <v>14</v>
      </c>
    </row>
    <row r="8" spans="1:17" x14ac:dyDescent="0.25">
      <c r="A8" s="1">
        <v>7</v>
      </c>
      <c r="B8" s="39" t="s">
        <v>8</v>
      </c>
      <c r="C8" s="40" t="s">
        <v>3</v>
      </c>
      <c r="D8" s="41">
        <v>20000</v>
      </c>
      <c r="E8" s="41">
        <f>10000+10000</f>
        <v>20000</v>
      </c>
      <c r="F8" s="41">
        <f t="shared" ref="F8" si="10">(D8+I8)-E8</f>
        <v>0</v>
      </c>
      <c r="G8" s="41">
        <v>0</v>
      </c>
      <c r="H8" s="42">
        <v>0</v>
      </c>
      <c r="I8" s="41">
        <f t="shared" ref="I8" si="11">D8*H8</f>
        <v>0</v>
      </c>
      <c r="J8" s="43">
        <v>46031</v>
      </c>
      <c r="K8" s="43">
        <v>46037</v>
      </c>
      <c r="L8" s="43"/>
      <c r="M8" s="40" t="s">
        <v>62</v>
      </c>
    </row>
    <row r="9" spans="1:17" x14ac:dyDescent="0.25">
      <c r="A9" s="1">
        <v>8</v>
      </c>
      <c r="B9" s="24" t="s">
        <v>22</v>
      </c>
      <c r="C9" s="1" t="s">
        <v>24</v>
      </c>
      <c r="D9" s="28">
        <v>20000</v>
      </c>
      <c r="E9" s="28">
        <v>0</v>
      </c>
      <c r="F9" s="28">
        <f t="shared" ref="F9" si="12">(D9+I9)-E9</f>
        <v>20000</v>
      </c>
      <c r="G9" s="28">
        <v>0</v>
      </c>
      <c r="H9" s="29">
        <v>0</v>
      </c>
      <c r="I9" s="28">
        <f t="shared" ref="I9" si="13">D9*H9</f>
        <v>0</v>
      </c>
      <c r="J9" s="4">
        <v>46032</v>
      </c>
      <c r="K9" s="4">
        <v>46038</v>
      </c>
      <c r="L9" s="4"/>
      <c r="M9" s="1" t="s">
        <v>14</v>
      </c>
    </row>
    <row r="10" spans="1:17" x14ac:dyDescent="0.25">
      <c r="A10" s="1">
        <v>9</v>
      </c>
      <c r="B10" s="24" t="s">
        <v>22</v>
      </c>
      <c r="C10" s="1" t="s">
        <v>3</v>
      </c>
      <c r="D10" s="28">
        <v>100000</v>
      </c>
      <c r="E10" s="28">
        <v>0</v>
      </c>
      <c r="F10" s="28">
        <f t="shared" ref="F10" si="14">(D10+I10)-E10</f>
        <v>100000</v>
      </c>
      <c r="G10" s="28">
        <v>0</v>
      </c>
      <c r="H10" s="29">
        <v>0</v>
      </c>
      <c r="I10" s="28">
        <f t="shared" ref="I10" si="15">D10*H10</f>
        <v>0</v>
      </c>
      <c r="J10" s="4">
        <v>46033</v>
      </c>
      <c r="K10" s="4">
        <v>46039</v>
      </c>
      <c r="L10" s="4"/>
      <c r="M10" s="1" t="s">
        <v>14</v>
      </c>
    </row>
    <row r="11" spans="1:17" x14ac:dyDescent="0.25">
      <c r="A11" s="1">
        <v>10</v>
      </c>
      <c r="B11" s="39" t="s">
        <v>8</v>
      </c>
      <c r="C11" s="40" t="s">
        <v>3</v>
      </c>
      <c r="D11" s="41">
        <v>20000</v>
      </c>
      <c r="E11" s="41">
        <v>20000</v>
      </c>
      <c r="F11" s="41">
        <f t="shared" ref="F11" si="16">(D11+I11)-E11</f>
        <v>0</v>
      </c>
      <c r="G11" s="41">
        <v>0</v>
      </c>
      <c r="H11" s="42">
        <v>0</v>
      </c>
      <c r="I11" s="41">
        <f t="shared" ref="I11" si="17">D11*H11</f>
        <v>0</v>
      </c>
      <c r="J11" s="43">
        <v>46033</v>
      </c>
      <c r="K11" s="43">
        <v>46037</v>
      </c>
      <c r="L11" s="43"/>
      <c r="M11" s="40" t="s">
        <v>62</v>
      </c>
    </row>
    <row r="12" spans="1:17" x14ac:dyDescent="0.25">
      <c r="A12" s="1">
        <v>11</v>
      </c>
      <c r="B12" s="24" t="s">
        <v>20</v>
      </c>
      <c r="C12" s="1" t="s">
        <v>24</v>
      </c>
      <c r="D12" s="28">
        <v>20000</v>
      </c>
      <c r="E12" s="28">
        <f>15000-7000</f>
        <v>8000</v>
      </c>
      <c r="F12" s="28">
        <f t="shared" ref="F12" si="18">(D12+I12)-E12</f>
        <v>12000</v>
      </c>
      <c r="G12" s="28">
        <v>0</v>
      </c>
      <c r="H12" s="29">
        <v>0</v>
      </c>
      <c r="I12" s="28">
        <f t="shared" ref="I12" si="19">D12*H12</f>
        <v>0</v>
      </c>
      <c r="J12" s="4">
        <v>46035</v>
      </c>
      <c r="K12" s="4">
        <v>46041</v>
      </c>
      <c r="L12" s="4"/>
      <c r="M12" s="1" t="s">
        <v>14</v>
      </c>
    </row>
    <row r="13" spans="1:17" x14ac:dyDescent="0.25">
      <c r="A13" s="1">
        <v>12</v>
      </c>
      <c r="B13" s="24" t="s">
        <v>20</v>
      </c>
      <c r="C13" s="1" t="s">
        <v>49</v>
      </c>
      <c r="D13" s="28">
        <v>20000</v>
      </c>
      <c r="E13" s="28">
        <v>0</v>
      </c>
      <c r="F13" s="28">
        <f t="shared" ref="F13" si="20">(D13+I13)-E13</f>
        <v>20000</v>
      </c>
      <c r="G13" s="28">
        <v>0</v>
      </c>
      <c r="H13" s="29">
        <v>0</v>
      </c>
      <c r="I13" s="28">
        <f t="shared" ref="I13" si="21">D13*H13</f>
        <v>0</v>
      </c>
      <c r="J13" s="4">
        <v>46036</v>
      </c>
      <c r="K13" s="4">
        <v>46042</v>
      </c>
      <c r="L13" s="4"/>
      <c r="M13" s="1" t="s">
        <v>14</v>
      </c>
    </row>
    <row r="14" spans="1:17" x14ac:dyDescent="0.25">
      <c r="A14" s="1">
        <v>13</v>
      </c>
      <c r="B14" s="24" t="s">
        <v>19</v>
      </c>
      <c r="C14" s="1" t="s">
        <v>16</v>
      </c>
      <c r="D14" s="28">
        <v>50000</v>
      </c>
      <c r="E14" s="28">
        <v>0</v>
      </c>
      <c r="F14" s="28">
        <f t="shared" ref="F14" si="22">(D14+I14)-E14</f>
        <v>50000</v>
      </c>
      <c r="G14" s="28">
        <v>0</v>
      </c>
      <c r="H14" s="29">
        <v>0</v>
      </c>
      <c r="I14" s="28">
        <f t="shared" ref="I14" si="23">D14*H14</f>
        <v>0</v>
      </c>
      <c r="J14" s="4">
        <v>46036</v>
      </c>
      <c r="K14" s="4">
        <v>46042</v>
      </c>
      <c r="L14" s="4"/>
      <c r="M14" s="1" t="s">
        <v>14</v>
      </c>
    </row>
    <row r="15" spans="1:17" x14ac:dyDescent="0.25">
      <c r="A15" s="1">
        <v>14</v>
      </c>
      <c r="B15" s="24" t="s">
        <v>20</v>
      </c>
      <c r="C15" s="1" t="s">
        <v>3</v>
      </c>
      <c r="D15" s="28">
        <v>120000</v>
      </c>
      <c r="E15" s="28">
        <v>0</v>
      </c>
      <c r="F15" s="28">
        <f t="shared" ref="F15:F16" si="24">(D15+I15)-E15</f>
        <v>120000</v>
      </c>
      <c r="G15" s="28">
        <v>0</v>
      </c>
      <c r="H15" s="29">
        <v>0</v>
      </c>
      <c r="I15" s="28">
        <f t="shared" ref="I15:I16" si="25">D15*H15</f>
        <v>0</v>
      </c>
      <c r="J15" s="4">
        <v>46037</v>
      </c>
      <c r="K15" s="4">
        <v>46043</v>
      </c>
      <c r="L15" s="4"/>
      <c r="M15" s="1" t="s">
        <v>14</v>
      </c>
    </row>
    <row r="16" spans="1:17" x14ac:dyDescent="0.25">
      <c r="A16" s="1">
        <v>15</v>
      </c>
      <c r="B16" s="24" t="s">
        <v>8</v>
      </c>
      <c r="C16" s="1" t="s">
        <v>3</v>
      </c>
      <c r="D16" s="28">
        <f>100000+20000+10000</f>
        <v>130000</v>
      </c>
      <c r="E16" s="28">
        <f>10000</f>
        <v>10000</v>
      </c>
      <c r="F16" s="28">
        <f t="shared" si="24"/>
        <v>120000</v>
      </c>
      <c r="G16" s="28">
        <v>0</v>
      </c>
      <c r="H16" s="29">
        <v>0</v>
      </c>
      <c r="I16" s="28">
        <f t="shared" si="25"/>
        <v>0</v>
      </c>
      <c r="J16" s="4">
        <v>46037</v>
      </c>
      <c r="K16" s="4">
        <v>46043</v>
      </c>
      <c r="L16" s="4"/>
      <c r="M16" s="1" t="s">
        <v>14</v>
      </c>
    </row>
    <row r="17" spans="1:13" x14ac:dyDescent="0.25">
      <c r="A17" s="1">
        <v>16</v>
      </c>
      <c r="B17" s="24" t="s">
        <v>56</v>
      </c>
      <c r="C17" s="1" t="s">
        <v>3</v>
      </c>
      <c r="D17" s="28">
        <v>50000</v>
      </c>
      <c r="E17" s="28">
        <v>0</v>
      </c>
      <c r="F17" s="28">
        <f t="shared" ref="F17" si="26">(D17+I17)-E17</f>
        <v>50000</v>
      </c>
      <c r="G17" s="28">
        <v>0</v>
      </c>
      <c r="H17" s="29">
        <v>0</v>
      </c>
      <c r="I17" s="28">
        <f t="shared" ref="I17" si="27">D17*H17</f>
        <v>0</v>
      </c>
      <c r="J17" s="4">
        <v>46037</v>
      </c>
      <c r="K17" s="4">
        <v>46043</v>
      </c>
      <c r="L17" s="4"/>
      <c r="M17" s="1" t="s">
        <v>14</v>
      </c>
    </row>
    <row r="18" spans="1:13" x14ac:dyDescent="0.25">
      <c r="A18" s="1">
        <v>17</v>
      </c>
      <c r="B18" s="24"/>
      <c r="C18" s="1"/>
      <c r="D18" s="28"/>
      <c r="E18" s="28"/>
      <c r="F18" s="28"/>
      <c r="G18" s="28"/>
      <c r="H18" s="29"/>
      <c r="I18" s="28"/>
      <c r="J18" s="4"/>
      <c r="K18" s="4"/>
      <c r="L18" s="4"/>
      <c r="M18" s="1"/>
    </row>
    <row r="19" spans="1:13" x14ac:dyDescent="0.25">
      <c r="A19" s="1">
        <v>18</v>
      </c>
      <c r="B19" s="24"/>
      <c r="C19" s="1"/>
      <c r="D19" s="28"/>
      <c r="E19" s="28"/>
      <c r="F19" s="28"/>
      <c r="G19" s="28"/>
      <c r="H19" s="29"/>
      <c r="I19" s="28"/>
      <c r="J19" s="4"/>
      <c r="K19" s="4"/>
      <c r="L19" s="4"/>
      <c r="M19" s="1"/>
    </row>
    <row r="20" spans="1:13" x14ac:dyDescent="0.25">
      <c r="A20" s="1">
        <v>19</v>
      </c>
      <c r="B20" s="24"/>
      <c r="C20" s="1"/>
      <c r="D20" s="37"/>
      <c r="E20" s="37"/>
      <c r="F20" s="37"/>
      <c r="G20" s="37"/>
      <c r="H20" s="24"/>
      <c r="I20" s="37"/>
      <c r="J20" s="24"/>
      <c r="K20" s="38"/>
      <c r="L20" s="38"/>
      <c r="M20" s="24"/>
    </row>
    <row r="21" spans="1:13" ht="24" x14ac:dyDescent="0.25">
      <c r="B21" s="34" t="s">
        <v>33</v>
      </c>
      <c r="C21" s="34"/>
      <c r="D21" s="45" t="s">
        <v>34</v>
      </c>
      <c r="E21" s="45"/>
      <c r="F21" s="45"/>
      <c r="G21" s="45"/>
    </row>
    <row r="22" spans="1:13" x14ac:dyDescent="0.25">
      <c r="D22" s="44" t="s">
        <v>28</v>
      </c>
      <c r="E22" s="44"/>
      <c r="F22" s="35">
        <f>SUM(D2:D20)</f>
        <v>1087000</v>
      </c>
      <c r="G22" s="36"/>
      <c r="J22" s="36"/>
    </row>
    <row r="23" spans="1:13" x14ac:dyDescent="0.25">
      <c r="D23" s="44" t="s">
        <v>29</v>
      </c>
      <c r="E23" s="44"/>
      <c r="F23" s="35">
        <f>SUM(E2:E20)</f>
        <v>173000</v>
      </c>
      <c r="G23" s="36"/>
      <c r="M23" s="25" t="s">
        <v>41</v>
      </c>
    </row>
    <row r="24" spans="1:13" x14ac:dyDescent="0.25">
      <c r="D24" s="44" t="s">
        <v>27</v>
      </c>
      <c r="E24" s="44"/>
      <c r="F24" s="35">
        <f>-SUM(F2:F20)</f>
        <v>-1019100</v>
      </c>
      <c r="G24" s="36"/>
    </row>
    <row r="26" spans="1:13" x14ac:dyDescent="0.25">
      <c r="F26" s="36"/>
      <c r="G26" s="36"/>
    </row>
    <row r="27" spans="1:13" x14ac:dyDescent="0.25">
      <c r="F27" s="36"/>
      <c r="G27" s="36"/>
    </row>
    <row r="28" spans="1:13" x14ac:dyDescent="0.25">
      <c r="F28" s="36"/>
      <c r="G28" s="36"/>
    </row>
    <row r="29" spans="1:13" x14ac:dyDescent="0.25">
      <c r="F29" s="36"/>
    </row>
    <row r="30" spans="1:13" x14ac:dyDescent="0.25">
      <c r="F30" s="36"/>
    </row>
  </sheetData>
  <autoFilter ref="A1:M24" xr:uid="{B426C2E0-1FB2-4505-A56E-E149D9D304FF}"/>
  <mergeCells count="4">
    <mergeCell ref="D22:E22"/>
    <mergeCell ref="D23:E23"/>
    <mergeCell ref="D24:E24"/>
    <mergeCell ref="D21:G21"/>
  </mergeCells>
  <phoneticPr fontId="1" type="noConversion"/>
  <hyperlinks>
    <hyperlink ref="D2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77"/>
  <sheetViews>
    <sheetView tabSelected="1" topLeftCell="A152" workbookViewId="0">
      <selection activeCell="G159" sqref="G15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58</v>
      </c>
    </row>
    <row r="128" spans="1:4" ht="18.75" x14ac:dyDescent="0.25">
      <c r="A128" s="21">
        <v>46022</v>
      </c>
      <c r="B128" s="19" t="s">
        <v>56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36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57</v>
      </c>
    </row>
    <row r="146" spans="1:4" ht="18.75" x14ac:dyDescent="0.25">
      <c r="A146" s="21">
        <v>46030</v>
      </c>
      <c r="B146" s="19" t="s">
        <v>56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42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55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61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55</v>
      </c>
      <c r="C162" s="20">
        <v>20000</v>
      </c>
      <c r="D162" s="22" t="s">
        <v>3</v>
      </c>
    </row>
    <row r="163" spans="1:4" ht="18.75" x14ac:dyDescent="0.25">
      <c r="A163" s="21">
        <v>46036</v>
      </c>
      <c r="B163" s="19" t="s">
        <v>20</v>
      </c>
      <c r="C163" s="20">
        <v>20000</v>
      </c>
      <c r="D163" s="22" t="s">
        <v>49</v>
      </c>
    </row>
    <row r="164" spans="1:4" ht="18.75" x14ac:dyDescent="0.25">
      <c r="A164" s="21">
        <v>46036</v>
      </c>
      <c r="B164" s="19" t="s">
        <v>19</v>
      </c>
      <c r="C164" s="20">
        <v>50000</v>
      </c>
      <c r="D164" s="22" t="s">
        <v>16</v>
      </c>
    </row>
    <row r="165" spans="1:4" ht="18.75" x14ac:dyDescent="0.25">
      <c r="A165" s="21">
        <v>46037</v>
      </c>
      <c r="B165" s="19" t="s">
        <v>20</v>
      </c>
      <c r="C165" s="20">
        <v>120000</v>
      </c>
      <c r="D165" s="22" t="s">
        <v>3</v>
      </c>
    </row>
    <row r="166" spans="1:4" ht="18.75" x14ac:dyDescent="0.25">
      <c r="A166" s="21">
        <v>46037</v>
      </c>
      <c r="B166" s="19" t="s">
        <v>8</v>
      </c>
      <c r="C166" s="20">
        <v>130000</v>
      </c>
      <c r="D166" s="22" t="s">
        <v>3</v>
      </c>
    </row>
    <row r="167" spans="1:4" ht="18.75" x14ac:dyDescent="0.25">
      <c r="A167" s="21">
        <v>46037</v>
      </c>
      <c r="B167" s="19" t="s">
        <v>56</v>
      </c>
      <c r="C167" s="20">
        <v>50000</v>
      </c>
      <c r="D167" s="22" t="s">
        <v>3</v>
      </c>
    </row>
    <row r="168" spans="1:4" ht="18.75" x14ac:dyDescent="0.25">
      <c r="A168" s="21"/>
      <c r="B168" s="19"/>
      <c r="C168" s="20"/>
      <c r="D168" s="22"/>
    </row>
    <row r="169" spans="1:4" ht="18.75" x14ac:dyDescent="0.25">
      <c r="A169" s="21"/>
      <c r="B169" s="19"/>
      <c r="C169" s="20"/>
      <c r="D169" s="22"/>
    </row>
    <row r="170" spans="1:4" ht="18.75" x14ac:dyDescent="0.25">
      <c r="A170" s="21"/>
      <c r="B170" s="19"/>
      <c r="C170" s="20"/>
      <c r="D170" s="22"/>
    </row>
    <row r="171" spans="1:4" ht="18.75" x14ac:dyDescent="0.25">
      <c r="A171" s="21"/>
      <c r="B171" s="19"/>
      <c r="C171" s="20"/>
      <c r="D171" s="22"/>
    </row>
    <row r="172" spans="1:4" ht="18.75" x14ac:dyDescent="0.25">
      <c r="A172" s="21"/>
      <c r="B172" s="19"/>
      <c r="C172" s="20"/>
      <c r="D172" s="22"/>
    </row>
    <row r="173" spans="1:4" ht="18.75" x14ac:dyDescent="0.25">
      <c r="A173" s="21"/>
      <c r="B173" s="19"/>
      <c r="C173" s="20"/>
      <c r="D173" s="22"/>
    </row>
    <row r="174" spans="1:4" ht="18.75" x14ac:dyDescent="0.25">
      <c r="A174" s="21"/>
      <c r="B174" s="19"/>
      <c r="C174" s="20"/>
      <c r="D174" s="22"/>
    </row>
    <row r="175" spans="1:4" ht="18.75" x14ac:dyDescent="0.25">
      <c r="A175" s="21"/>
      <c r="B175" s="19"/>
      <c r="C175" s="20"/>
      <c r="D175" s="22"/>
    </row>
    <row r="176" spans="1:4" ht="18.75" x14ac:dyDescent="0.25">
      <c r="A176" s="21"/>
      <c r="B176" s="19"/>
      <c r="C176" s="20"/>
      <c r="D176" s="22"/>
    </row>
    <row r="177" spans="1:4" ht="18.75" x14ac:dyDescent="0.25">
      <c r="A177" s="21"/>
      <c r="B177" s="19"/>
      <c r="C177" s="20"/>
      <c r="D177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2026-01-15T05:27:55Z</dcterms:modified>
</cp:coreProperties>
</file>