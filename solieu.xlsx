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0F05561-9614-4A01-9D0B-F82B6147808B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NỢ'!$A$1:$M$20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3" l="1"/>
  <c r="F13" i="3" s="1"/>
  <c r="I12" i="3"/>
  <c r="F12" i="3" s="1"/>
  <c r="I11" i="3"/>
  <c r="F11" i="3" s="1"/>
  <c r="I10" i="3"/>
  <c r="F10" i="3" s="1"/>
  <c r="I9" i="3"/>
  <c r="F9" i="3" s="1"/>
  <c r="I8" i="3"/>
  <c r="F8" i="3" s="1"/>
  <c r="I7" i="3"/>
  <c r="F7" i="3" s="1"/>
  <c r="E5" i="3"/>
  <c r="E3" i="3"/>
  <c r="I6" i="3"/>
  <c r="F6" i="3" s="1"/>
  <c r="U43" i="4"/>
  <c r="T43" i="4"/>
  <c r="R26" i="4"/>
  <c r="R25" i="4"/>
  <c r="R19" i="4"/>
  <c r="R8" i="4"/>
  <c r="G20" i="4"/>
  <c r="G43" i="4" s="1"/>
  <c r="F10" i="4"/>
  <c r="E16" i="4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18" i="3"/>
  <c r="R43" i="4"/>
  <c r="F3" i="3"/>
  <c r="F19" i="3"/>
  <c r="F20" i="3" l="1"/>
</calcChain>
</file>

<file path=xl/sharedStrings.xml><?xml version="1.0" encoding="utf-8"?>
<sst xmlns="http://schemas.openxmlformats.org/spreadsheetml/2006/main" count="240" uniqueCount="58">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</sst>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67" fontId="0" fillId="0" borderId="1" xfId="0" applyNumberFormat="1" applyFill="1" applyBorder="1" applyAlignment="1">
      <alignment vertical="center"/>
    </xf>
    <xf numFmtId="9" fontId="0" fillId="0" borderId="1" xfId="0" applyNumberFormat="1" applyFill="1" applyBorder="1" applyAlignment="1">
      <alignment vertical="center"/>
    </xf>
    <xf numFmtId="165" fontId="0" fillId="0" borderId="1" xfId="0" applyNumberForma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6"/>
  <sheetViews>
    <sheetView tabSelected="1" zoomScale="85" zoomScaleNormal="85" workbookViewId="0">
      <selection activeCell="N8" sqref="N8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10000+5000</f>
        <v>15000</v>
      </c>
      <c r="F3" s="30">
        <f t="shared" ref="F3" si="0">(D3+I3)-E3</f>
        <v>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6" t="s">
        <v>8</v>
      </c>
      <c r="C5" s="7" t="s">
        <v>3</v>
      </c>
      <c r="D5" s="30">
        <v>100000</v>
      </c>
      <c r="E5" s="30">
        <f>50000-29000+20000+10000+30000</f>
        <v>81000</v>
      </c>
      <c r="F5" s="30">
        <f t="shared" ref="F5" si="2">(D5+I5)-E5</f>
        <v>19000</v>
      </c>
      <c r="G5" s="30">
        <v>0</v>
      </c>
      <c r="H5" s="31">
        <v>0</v>
      </c>
      <c r="I5" s="30">
        <f t="shared" ref="I5" si="3">D5*H5</f>
        <v>0</v>
      </c>
      <c r="J5" s="8">
        <v>46001</v>
      </c>
      <c r="K5" s="8"/>
      <c r="L5" s="8"/>
      <c r="M5" s="7" t="s">
        <v>14</v>
      </c>
    </row>
    <row r="6" spans="1:17" x14ac:dyDescent="0.25">
      <c r="A6" s="1">
        <v>5</v>
      </c>
      <c r="B6" s="26" t="s">
        <v>8</v>
      </c>
      <c r="C6" s="7" t="s">
        <v>3</v>
      </c>
      <c r="D6" s="30">
        <v>20000</v>
      </c>
      <c r="E6" s="30">
        <v>0</v>
      </c>
      <c r="F6" s="30">
        <f t="shared" ref="F6" si="4">(D6+I6)-E6</f>
        <v>20000</v>
      </c>
      <c r="G6" s="30">
        <v>0</v>
      </c>
      <c r="H6" s="31">
        <v>0</v>
      </c>
      <c r="I6" s="30">
        <f t="shared" ref="I6" si="5">D6*H6</f>
        <v>0</v>
      </c>
      <c r="J6" s="8">
        <v>46006</v>
      </c>
      <c r="K6" s="8"/>
      <c r="L6" s="8"/>
      <c r="M6" s="7" t="s">
        <v>14</v>
      </c>
    </row>
    <row r="7" spans="1:17" x14ac:dyDescent="0.25">
      <c r="A7" s="1">
        <v>6</v>
      </c>
      <c r="B7" s="24" t="s">
        <v>42</v>
      </c>
      <c r="C7" s="1" t="s">
        <v>3</v>
      </c>
      <c r="D7" s="28">
        <v>100000</v>
      </c>
      <c r="E7" s="28">
        <v>0</v>
      </c>
      <c r="F7" s="28">
        <f t="shared" ref="F7" si="6">(D7+I7)-E7</f>
        <v>100000</v>
      </c>
      <c r="G7" s="28">
        <v>0</v>
      </c>
      <c r="H7" s="29">
        <v>0</v>
      </c>
      <c r="I7" s="28">
        <f t="shared" ref="I7" si="7">D7*H7</f>
        <v>0</v>
      </c>
      <c r="J7" s="4">
        <v>46016</v>
      </c>
      <c r="K7" s="4">
        <v>46022</v>
      </c>
      <c r="L7" s="4"/>
      <c r="M7" s="1" t="s">
        <v>14</v>
      </c>
    </row>
    <row r="8" spans="1:17" x14ac:dyDescent="0.25">
      <c r="A8" s="1">
        <v>7</v>
      </c>
      <c r="B8" s="24" t="s">
        <v>40</v>
      </c>
      <c r="C8" s="1" t="s">
        <v>3</v>
      </c>
      <c r="D8" s="28">
        <v>20000</v>
      </c>
      <c r="E8" s="28">
        <v>0</v>
      </c>
      <c r="F8" s="28">
        <f t="shared" ref="F8" si="8">(D8+I8)-E8</f>
        <v>20000</v>
      </c>
      <c r="G8" s="28">
        <v>0</v>
      </c>
      <c r="H8" s="29">
        <v>0</v>
      </c>
      <c r="I8" s="28">
        <f t="shared" ref="I8" si="9">D8*H8</f>
        <v>0</v>
      </c>
      <c r="J8" s="4">
        <v>46016</v>
      </c>
      <c r="K8" s="4">
        <v>46022</v>
      </c>
      <c r="L8" s="4"/>
      <c r="M8" s="1" t="s">
        <v>14</v>
      </c>
    </row>
    <row r="9" spans="1:17" x14ac:dyDescent="0.25">
      <c r="A9" s="1">
        <v>8</v>
      </c>
      <c r="B9" s="24" t="s">
        <v>39</v>
      </c>
      <c r="C9" s="1" t="s">
        <v>51</v>
      </c>
      <c r="D9" s="28">
        <v>50000</v>
      </c>
      <c r="E9" s="28">
        <v>0</v>
      </c>
      <c r="F9" s="28">
        <f t="shared" ref="F9" si="10">(D9+I9)-E9</f>
        <v>50000</v>
      </c>
      <c r="G9" s="28">
        <v>0</v>
      </c>
      <c r="H9" s="29">
        <v>0</v>
      </c>
      <c r="I9" s="28">
        <f t="shared" ref="I9" si="11">D9*H9</f>
        <v>0</v>
      </c>
      <c r="J9" s="4">
        <v>46016</v>
      </c>
      <c r="K9" s="4">
        <v>46022</v>
      </c>
      <c r="L9" s="4"/>
      <c r="M9" s="1" t="s">
        <v>14</v>
      </c>
    </row>
    <row r="10" spans="1:17" x14ac:dyDescent="0.25">
      <c r="A10" s="1">
        <v>9</v>
      </c>
      <c r="B10" s="24" t="s">
        <v>20</v>
      </c>
      <c r="C10" s="1" t="s">
        <v>3</v>
      </c>
      <c r="D10" s="28">
        <v>20000</v>
      </c>
      <c r="E10" s="28">
        <v>0</v>
      </c>
      <c r="F10" s="28">
        <f t="shared" ref="F10" si="12">(D10+I10)-E10</f>
        <v>20000</v>
      </c>
      <c r="G10" s="28">
        <v>0</v>
      </c>
      <c r="H10" s="29">
        <v>0</v>
      </c>
      <c r="I10" s="28">
        <f t="shared" ref="I10" si="13">D10*H10</f>
        <v>0</v>
      </c>
      <c r="J10" s="4">
        <v>46017</v>
      </c>
      <c r="K10" s="4">
        <v>46023</v>
      </c>
      <c r="L10" s="4"/>
      <c r="M10" s="1" t="s">
        <v>14</v>
      </c>
    </row>
    <row r="11" spans="1:17" x14ac:dyDescent="0.25">
      <c r="A11" s="1">
        <v>10</v>
      </c>
      <c r="B11" s="24" t="s">
        <v>55</v>
      </c>
      <c r="C11" s="1" t="s">
        <v>3</v>
      </c>
      <c r="D11" s="28">
        <v>20000</v>
      </c>
      <c r="E11" s="28">
        <v>0</v>
      </c>
      <c r="F11" s="28">
        <f t="shared" ref="F11" si="14">(D11+I11)-E11</f>
        <v>20000</v>
      </c>
      <c r="G11" s="28">
        <v>0</v>
      </c>
      <c r="H11" s="29">
        <v>0</v>
      </c>
      <c r="I11" s="28">
        <f t="shared" ref="I11" si="15">D11*H11</f>
        <v>0</v>
      </c>
      <c r="J11" s="4">
        <v>46017</v>
      </c>
      <c r="K11" s="4">
        <v>46023</v>
      </c>
      <c r="L11" s="4"/>
      <c r="M11" s="1" t="s">
        <v>14</v>
      </c>
    </row>
    <row r="12" spans="1:17" x14ac:dyDescent="0.25">
      <c r="A12" s="1">
        <v>11</v>
      </c>
      <c r="B12" s="41" t="s">
        <v>56</v>
      </c>
      <c r="C12" s="42" t="s">
        <v>3</v>
      </c>
      <c r="D12" s="43">
        <v>20000</v>
      </c>
      <c r="E12" s="43">
        <v>20000</v>
      </c>
      <c r="F12" s="43">
        <f t="shared" ref="F12" si="16">(D12+I12)-E12</f>
        <v>0</v>
      </c>
      <c r="G12" s="43">
        <v>0</v>
      </c>
      <c r="H12" s="44">
        <v>0</v>
      </c>
      <c r="I12" s="43">
        <f t="shared" ref="I12" si="17">D12*H12</f>
        <v>0</v>
      </c>
      <c r="J12" s="45">
        <v>46018</v>
      </c>
      <c r="K12" s="45">
        <v>46018</v>
      </c>
      <c r="L12" s="45"/>
      <c r="M12" s="42" t="s">
        <v>57</v>
      </c>
    </row>
    <row r="13" spans="1:17" x14ac:dyDescent="0.25">
      <c r="A13" s="1">
        <v>12</v>
      </c>
      <c r="B13" s="41" t="s">
        <v>26</v>
      </c>
      <c r="C13" s="42" t="s">
        <v>51</v>
      </c>
      <c r="D13" s="43">
        <v>220000</v>
      </c>
      <c r="E13" s="43">
        <v>220000</v>
      </c>
      <c r="F13" s="43">
        <f t="shared" ref="F13" si="18">(D13+I13)-E13</f>
        <v>0</v>
      </c>
      <c r="G13" s="43">
        <v>0</v>
      </c>
      <c r="H13" s="44">
        <v>0</v>
      </c>
      <c r="I13" s="43">
        <f t="shared" ref="I13" si="19">D13*H13</f>
        <v>0</v>
      </c>
      <c r="J13" s="45">
        <v>46017</v>
      </c>
      <c r="K13" s="45">
        <v>46018</v>
      </c>
      <c r="L13" s="45"/>
      <c r="M13" s="42" t="s">
        <v>57</v>
      </c>
    </row>
    <row r="14" spans="1:17" x14ac:dyDescent="0.25">
      <c r="A14" s="1">
        <v>13</v>
      </c>
      <c r="B14" s="46"/>
      <c r="C14" s="47"/>
      <c r="D14" s="48"/>
      <c r="E14" s="48"/>
      <c r="F14" s="48"/>
      <c r="G14" s="48"/>
      <c r="H14" s="49"/>
      <c r="I14" s="48"/>
      <c r="J14" s="50"/>
      <c r="K14" s="50"/>
      <c r="L14" s="50"/>
      <c r="M14" s="47"/>
    </row>
    <row r="15" spans="1:17" x14ac:dyDescent="0.25">
      <c r="A15" s="1">
        <v>14</v>
      </c>
      <c r="B15" s="46"/>
      <c r="C15" s="47"/>
      <c r="D15" s="48"/>
      <c r="E15" s="48"/>
      <c r="F15" s="48"/>
      <c r="G15" s="48"/>
      <c r="H15" s="49"/>
      <c r="I15" s="48"/>
      <c r="J15" s="50"/>
      <c r="K15" s="50"/>
      <c r="L15" s="50"/>
      <c r="M15" s="47"/>
    </row>
    <row r="16" spans="1:17" x14ac:dyDescent="0.25">
      <c r="A16" s="1">
        <v>15</v>
      </c>
      <c r="B16" s="24"/>
      <c r="C16" s="1"/>
      <c r="D16" s="37"/>
      <c r="E16" s="37"/>
      <c r="F16" s="37"/>
      <c r="G16" s="37"/>
      <c r="H16" s="24"/>
      <c r="I16" s="37"/>
      <c r="J16" s="24"/>
      <c r="K16" s="38"/>
      <c r="L16" s="38"/>
      <c r="M16" s="24"/>
    </row>
    <row r="17" spans="2:13" ht="24" x14ac:dyDescent="0.25">
      <c r="B17" s="34" t="s">
        <v>33</v>
      </c>
      <c r="C17" s="34"/>
      <c r="D17" s="40" t="s">
        <v>34</v>
      </c>
      <c r="E17" s="40"/>
      <c r="F17" s="40"/>
      <c r="G17" s="40"/>
    </row>
    <row r="18" spans="2:13" x14ac:dyDescent="0.25">
      <c r="D18" s="39" t="s">
        <v>28</v>
      </c>
      <c r="E18" s="39"/>
      <c r="F18" s="35">
        <f>SUM(D2:D16)</f>
        <v>970000</v>
      </c>
      <c r="G18" s="36"/>
      <c r="J18" s="36"/>
    </row>
    <row r="19" spans="2:13" x14ac:dyDescent="0.25">
      <c r="D19" s="39" t="s">
        <v>29</v>
      </c>
      <c r="E19" s="39"/>
      <c r="F19" s="35">
        <f>SUM(E2:E16)</f>
        <v>336000</v>
      </c>
      <c r="G19" s="36"/>
      <c r="M19" s="25" t="s">
        <v>41</v>
      </c>
    </row>
    <row r="20" spans="2:13" x14ac:dyDescent="0.25">
      <c r="D20" s="39" t="s">
        <v>27</v>
      </c>
      <c r="E20" s="39"/>
      <c r="F20" s="35">
        <f>-SUM(F2:F16)</f>
        <v>-704000</v>
      </c>
      <c r="G20" s="36"/>
    </row>
    <row r="22" spans="2:13" x14ac:dyDescent="0.25">
      <c r="F22" s="36"/>
      <c r="G22" s="36"/>
    </row>
    <row r="23" spans="2:13" x14ac:dyDescent="0.25">
      <c r="F23" s="36"/>
      <c r="G23" s="36"/>
    </row>
    <row r="24" spans="2:13" x14ac:dyDescent="0.25">
      <c r="F24" s="36"/>
      <c r="G24" s="36"/>
    </row>
    <row r="25" spans="2:13" x14ac:dyDescent="0.25">
      <c r="F25" s="36"/>
    </row>
    <row r="26" spans="2:13" x14ac:dyDescent="0.25">
      <c r="F26" s="36"/>
    </row>
  </sheetData>
  <autoFilter ref="A1:M20" xr:uid="{B426C2E0-1FB2-4505-A56E-E149D9D304FF}"/>
  <mergeCells count="4">
    <mergeCell ref="D18:E18"/>
    <mergeCell ref="D19:E19"/>
    <mergeCell ref="D20:E20"/>
    <mergeCell ref="D17:G17"/>
  </mergeCells>
  <phoneticPr fontId="1" type="noConversion"/>
  <hyperlinks>
    <hyperlink ref="D1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31"/>
  <sheetViews>
    <sheetView topLeftCell="A97" workbookViewId="0">
      <selection activeCell="B110" sqref="B11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/>
      <c r="B112" s="19"/>
      <c r="C112" s="20"/>
      <c r="D112" s="22"/>
    </row>
    <row r="113" spans="1:4" ht="18.75" x14ac:dyDescent="0.25">
      <c r="A113" s="21"/>
      <c r="B113" s="19"/>
      <c r="C113" s="20"/>
      <c r="D113" s="22"/>
    </row>
    <row r="114" spans="1:4" ht="18.75" x14ac:dyDescent="0.25">
      <c r="A114" s="21"/>
      <c r="B114" s="19"/>
      <c r="C114" s="20"/>
      <c r="D114" s="22"/>
    </row>
    <row r="115" spans="1:4" ht="18.75" x14ac:dyDescent="0.25">
      <c r="A115" s="21"/>
      <c r="B115" s="19"/>
      <c r="C115" s="20"/>
      <c r="D115" s="22"/>
    </row>
    <row r="116" spans="1:4" ht="18.75" x14ac:dyDescent="0.25">
      <c r="A116" s="21"/>
      <c r="B116" s="19"/>
      <c r="C116" s="20"/>
      <c r="D116" s="22"/>
    </row>
    <row r="117" spans="1:4" ht="18.75" x14ac:dyDescent="0.25">
      <c r="A117" s="21"/>
      <c r="B117" s="19"/>
      <c r="C117" s="20"/>
      <c r="D117" s="22"/>
    </row>
    <row r="118" spans="1:4" ht="18.75" x14ac:dyDescent="0.25">
      <c r="A118" s="21"/>
      <c r="B118" s="19"/>
      <c r="C118" s="20"/>
      <c r="D118" s="22"/>
    </row>
    <row r="119" spans="1:4" ht="18.75" x14ac:dyDescent="0.25">
      <c r="A119" s="21"/>
      <c r="B119" s="19"/>
      <c r="C119" s="20"/>
      <c r="D119" s="22"/>
    </row>
    <row r="120" spans="1:4" ht="18.75" x14ac:dyDescent="0.25">
      <c r="A120" s="21"/>
      <c r="B120" s="19"/>
      <c r="C120" s="20"/>
      <c r="D120" s="22"/>
    </row>
    <row r="121" spans="1:4" ht="18.75" x14ac:dyDescent="0.25">
      <c r="A121" s="21"/>
      <c r="B121" s="19"/>
      <c r="C121" s="20"/>
      <c r="D121" s="22"/>
    </row>
    <row r="122" spans="1:4" ht="18.75" x14ac:dyDescent="0.25">
      <c r="A122" s="21"/>
      <c r="B122" s="19"/>
      <c r="C122" s="20"/>
      <c r="D122" s="22"/>
    </row>
    <row r="123" spans="1:4" ht="18.75" x14ac:dyDescent="0.25">
      <c r="A123" s="21"/>
      <c r="B123" s="19"/>
      <c r="C123" s="20"/>
      <c r="D123" s="22"/>
    </row>
    <row r="124" spans="1:4" ht="18.75" x14ac:dyDescent="0.25">
      <c r="A124" s="21"/>
      <c r="B124" s="19"/>
      <c r="C124" s="20"/>
      <c r="D124" s="22"/>
    </row>
    <row r="125" spans="1:4" ht="18.75" x14ac:dyDescent="0.25">
      <c r="A125" s="21"/>
      <c r="B125" s="19"/>
      <c r="C125" s="20"/>
      <c r="D125" s="22"/>
    </row>
    <row r="126" spans="1:4" ht="18.75" x14ac:dyDescent="0.25">
      <c r="A126" s="21"/>
      <c r="B126" s="19"/>
      <c r="C126" s="20"/>
      <c r="D126" s="22"/>
    </row>
    <row r="127" spans="1:4" ht="18.75" x14ac:dyDescent="0.25">
      <c r="A127" s="21"/>
      <c r="B127" s="19"/>
      <c r="C127" s="20"/>
      <c r="D127" s="22"/>
    </row>
    <row r="128" spans="1:4" ht="18.75" x14ac:dyDescent="0.25">
      <c r="A128" s="21"/>
      <c r="B128" s="19"/>
      <c r="C128" s="20"/>
      <c r="D128" s="22"/>
    </row>
    <row r="129" spans="1:4" ht="18.75" x14ac:dyDescent="0.25">
      <c r="A129" s="21"/>
      <c r="B129" s="19"/>
      <c r="C129" s="20"/>
      <c r="D129" s="22"/>
    </row>
    <row r="130" spans="1:4" ht="18.75" x14ac:dyDescent="0.25">
      <c r="A130" s="21"/>
      <c r="B130" s="19"/>
      <c r="C130" s="20"/>
      <c r="D130" s="22"/>
    </row>
    <row r="131" spans="1:4" ht="18.75" x14ac:dyDescent="0.25">
      <c r="A131" s="21"/>
      <c r="B131" s="19"/>
      <c r="C131" s="20"/>
      <c r="D131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2025-12-27T15:23:04Z</dcterms:modified>
</cp:coreProperties>
</file>