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5A65F25-F058-4CB2-A498-7EEA34211A51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NỢ'!$A$1:$M$25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3" l="1"/>
  <c r="F15" i="3" s="1"/>
  <c r="I16" i="3"/>
  <c r="F16" i="3" s="1"/>
  <c r="I14" i="3"/>
  <c r="F14" i="3" s="1"/>
  <c r="I13" i="3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23" i="3"/>
  <c r="R43" i="4"/>
  <c r="F3" i="3"/>
  <c r="F24" i="3"/>
  <c r="F25" i="3" l="1"/>
</calcChain>
</file>

<file path=xl/sharedStrings.xml><?xml version="1.0" encoding="utf-8"?>
<sst xmlns="http://schemas.openxmlformats.org/spreadsheetml/2006/main" count="261" uniqueCount="57">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</sst>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1"/>
  <sheetViews>
    <sheetView tabSelected="1" zoomScale="85" zoomScaleNormal="85" workbookViewId="0">
      <selection activeCell="O12" sqref="O1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20</v>
      </c>
      <c r="C12" s="1" t="s">
        <v>16</v>
      </c>
      <c r="D12" s="28">
        <v>200000</v>
      </c>
      <c r="E12" s="28">
        <v>0</v>
      </c>
      <c r="F12" s="28">
        <f t="shared" ref="F12" si="16">(D12+I12)-E12</f>
        <v>200000</v>
      </c>
      <c r="G12" s="28">
        <v>0</v>
      </c>
      <c r="H12" s="29">
        <v>0</v>
      </c>
      <c r="I12" s="28">
        <f t="shared" ref="I12" si="17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16</v>
      </c>
      <c r="D13" s="28">
        <v>100000</v>
      </c>
      <c r="E13" s="28">
        <v>0</v>
      </c>
      <c r="F13" s="28">
        <f t="shared" ref="F13" si="18">(D13+I13)-E13</f>
        <v>100000</v>
      </c>
      <c r="G13" s="28">
        <v>0</v>
      </c>
      <c r="H13" s="29">
        <v>0</v>
      </c>
      <c r="I13" s="28">
        <f t="shared" ref="I13" si="19">D13*H13</f>
        <v>0</v>
      </c>
      <c r="J13" s="4">
        <v>46019</v>
      </c>
      <c r="K13" s="4">
        <v>46025</v>
      </c>
      <c r="L13" s="4"/>
      <c r="M13" s="1" t="s">
        <v>14</v>
      </c>
    </row>
    <row r="14" spans="1:17" x14ac:dyDescent="0.25">
      <c r="A14" s="1">
        <v>13</v>
      </c>
      <c r="B14" s="24" t="s">
        <v>40</v>
      </c>
      <c r="C14" s="1" t="s">
        <v>3</v>
      </c>
      <c r="D14" s="28">
        <v>100000</v>
      </c>
      <c r="E14" s="28">
        <v>0</v>
      </c>
      <c r="F14" s="28">
        <f t="shared" ref="F14" si="20">(D14+I14)-E14</f>
        <v>100000</v>
      </c>
      <c r="G14" s="28">
        <v>0</v>
      </c>
      <c r="H14" s="29">
        <v>0</v>
      </c>
      <c r="I14" s="28">
        <f t="shared" ref="I14" si="21">D14*H14</f>
        <v>0</v>
      </c>
      <c r="J14" s="4">
        <v>46019</v>
      </c>
      <c r="K14" s="4">
        <v>46025</v>
      </c>
      <c r="L14" s="4"/>
      <c r="M14" s="1" t="s">
        <v>14</v>
      </c>
    </row>
    <row r="15" spans="1:17" x14ac:dyDescent="0.25">
      <c r="A15" s="1">
        <v>14</v>
      </c>
      <c r="B15" s="24" t="s">
        <v>17</v>
      </c>
      <c r="C15" s="1" t="s">
        <v>30</v>
      </c>
      <c r="D15" s="28">
        <v>75000</v>
      </c>
      <c r="E15" s="28">
        <v>0</v>
      </c>
      <c r="F15" s="28">
        <f t="shared" ref="F15:F16" si="22">(D15+I15)-E15</f>
        <v>75000</v>
      </c>
      <c r="G15" s="28">
        <v>0</v>
      </c>
      <c r="H15" s="29">
        <v>0</v>
      </c>
      <c r="I15" s="28">
        <f t="shared" ref="I15:I16" si="23">D15*H15</f>
        <v>0</v>
      </c>
      <c r="J15" s="4">
        <v>46019</v>
      </c>
      <c r="K15" s="4">
        <v>46025</v>
      </c>
      <c r="L15" s="4"/>
      <c r="M15" s="1" t="s">
        <v>14</v>
      </c>
    </row>
    <row r="16" spans="1:17" x14ac:dyDescent="0.25">
      <c r="A16" s="1">
        <v>15</v>
      </c>
      <c r="B16" s="24" t="s">
        <v>39</v>
      </c>
      <c r="C16" s="1" t="s">
        <v>51</v>
      </c>
      <c r="D16" s="28">
        <v>100000</v>
      </c>
      <c r="E16" s="28">
        <v>0</v>
      </c>
      <c r="F16" s="28">
        <f t="shared" si="22"/>
        <v>100000</v>
      </c>
      <c r="G16" s="28">
        <v>0</v>
      </c>
      <c r="H16" s="29">
        <v>0</v>
      </c>
      <c r="I16" s="28">
        <f t="shared" si="23"/>
        <v>0</v>
      </c>
      <c r="J16" s="4">
        <v>46019</v>
      </c>
      <c r="K16" s="4">
        <v>46025</v>
      </c>
      <c r="L16" s="4"/>
      <c r="M16" s="1" t="s">
        <v>14</v>
      </c>
    </row>
    <row r="17" spans="1:13" x14ac:dyDescent="0.25">
      <c r="A17" s="1">
        <v>16</v>
      </c>
      <c r="B17" s="24"/>
      <c r="C17" s="1"/>
      <c r="D17" s="28"/>
      <c r="E17" s="28"/>
      <c r="F17" s="28"/>
      <c r="G17" s="28"/>
      <c r="H17" s="29"/>
      <c r="I17" s="28"/>
      <c r="J17" s="4"/>
      <c r="K17" s="4"/>
      <c r="L17" s="4"/>
      <c r="M17" s="1"/>
    </row>
    <row r="18" spans="1:13" x14ac:dyDescent="0.25">
      <c r="A18" s="1">
        <v>17</v>
      </c>
      <c r="B18" s="24"/>
      <c r="C18" s="1"/>
      <c r="D18" s="28"/>
      <c r="E18" s="28"/>
      <c r="F18" s="28"/>
      <c r="G18" s="28"/>
      <c r="H18" s="29"/>
      <c r="I18" s="28"/>
      <c r="J18" s="4"/>
      <c r="K18" s="4"/>
      <c r="L18" s="4"/>
      <c r="M18" s="1"/>
    </row>
    <row r="19" spans="1:13" x14ac:dyDescent="0.25">
      <c r="A19" s="1">
        <v>18</v>
      </c>
      <c r="B19" s="24"/>
      <c r="C19" s="1"/>
      <c r="D19" s="28"/>
      <c r="E19" s="28"/>
      <c r="F19" s="28"/>
      <c r="G19" s="28"/>
      <c r="H19" s="29"/>
      <c r="I19" s="28"/>
      <c r="J19" s="4"/>
      <c r="K19" s="4"/>
      <c r="L19" s="4"/>
      <c r="M19" s="1"/>
    </row>
    <row r="20" spans="1:13" x14ac:dyDescent="0.25">
      <c r="A20" s="1">
        <v>19</v>
      </c>
      <c r="B20" s="24"/>
      <c r="C20" s="1"/>
      <c r="D20" s="28"/>
      <c r="E20" s="28"/>
      <c r="F20" s="28"/>
      <c r="G20" s="28"/>
      <c r="H20" s="29"/>
      <c r="I20" s="28"/>
      <c r="J20" s="4"/>
      <c r="K20" s="4"/>
      <c r="L20" s="4"/>
      <c r="M20" s="1"/>
    </row>
    <row r="21" spans="1:13" x14ac:dyDescent="0.25">
      <c r="A21" s="1">
        <v>20</v>
      </c>
      <c r="B21" s="24"/>
      <c r="C21" s="1"/>
      <c r="D21" s="37"/>
      <c r="E21" s="37"/>
      <c r="F21" s="37"/>
      <c r="G21" s="37"/>
      <c r="H21" s="24"/>
      <c r="I21" s="37"/>
      <c r="J21" s="24"/>
      <c r="K21" s="38"/>
      <c r="L21" s="38"/>
      <c r="M21" s="24"/>
    </row>
    <row r="22" spans="1:13" ht="24" x14ac:dyDescent="0.25">
      <c r="B22" s="34" t="s">
        <v>33</v>
      </c>
      <c r="C22" s="34"/>
      <c r="D22" s="40" t="s">
        <v>34</v>
      </c>
      <c r="E22" s="40"/>
      <c r="F22" s="40"/>
      <c r="G22" s="40"/>
    </row>
    <row r="23" spans="1:13" x14ac:dyDescent="0.25">
      <c r="D23" s="39" t="s">
        <v>28</v>
      </c>
      <c r="E23" s="39"/>
      <c r="F23" s="35">
        <f>SUM(D2:D21)</f>
        <v>1305000</v>
      </c>
      <c r="G23" s="36"/>
      <c r="J23" s="36"/>
    </row>
    <row r="24" spans="1:13" x14ac:dyDescent="0.25">
      <c r="D24" s="39" t="s">
        <v>29</v>
      </c>
      <c r="E24" s="39"/>
      <c r="F24" s="35">
        <f>SUM(E2:E21)</f>
        <v>96000</v>
      </c>
      <c r="G24" s="36"/>
      <c r="M24" s="25" t="s">
        <v>41</v>
      </c>
    </row>
    <row r="25" spans="1:13" x14ac:dyDescent="0.25">
      <c r="D25" s="39" t="s">
        <v>27</v>
      </c>
      <c r="E25" s="39"/>
      <c r="F25" s="35">
        <f>-SUM(F2:F21)</f>
        <v>-1296500</v>
      </c>
      <c r="G25" s="36"/>
    </row>
    <row r="27" spans="1:13" x14ac:dyDescent="0.25">
      <c r="F27" s="36"/>
      <c r="G27" s="36"/>
    </row>
    <row r="28" spans="1:13" x14ac:dyDescent="0.25">
      <c r="F28" s="36"/>
      <c r="G28" s="36"/>
    </row>
    <row r="29" spans="1:13" x14ac:dyDescent="0.25">
      <c r="F29" s="36"/>
      <c r="G29" s="36"/>
    </row>
    <row r="30" spans="1:13" x14ac:dyDescent="0.25">
      <c r="F30" s="36"/>
    </row>
    <row r="31" spans="1:13" x14ac:dyDescent="0.25">
      <c r="F31" s="36"/>
    </row>
  </sheetData>
  <autoFilter ref="A1:M25" xr:uid="{B426C2E0-1FB2-4505-A56E-E149D9D304FF}"/>
  <mergeCells count="4">
    <mergeCell ref="D23:E23"/>
    <mergeCell ref="D24:E24"/>
    <mergeCell ref="D25:E25"/>
    <mergeCell ref="D22:G22"/>
  </mergeCells>
  <phoneticPr fontId="1" type="noConversion"/>
  <hyperlinks>
    <hyperlink ref="D22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06" workbookViewId="0">
      <selection activeCell="D118" sqref="D11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2025-12-28T12:33:38Z</dcterms:modified>
</cp:coreProperties>
</file>