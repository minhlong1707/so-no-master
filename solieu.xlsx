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2769EBC7-CAC7-4259-9D4B-A2AF962E54F1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I11" i="3"/>
  <c r="F11" i="3" s="1"/>
  <c r="E7" i="3"/>
  <c r="I10" i="3"/>
  <c r="F10" i="3" s="1"/>
  <c r="I9" i="3"/>
  <c r="F9" i="3"/>
  <c r="I8" i="3"/>
  <c r="F8" i="3" s="1"/>
  <c r="U43" i="4"/>
  <c r="T43" i="4"/>
  <c r="R26" i="4"/>
  <c r="R25" i="4"/>
  <c r="R19" i="4"/>
  <c r="R8" i="4"/>
  <c r="G20" i="4"/>
  <c r="G43" i="4" s="1"/>
  <c r="F10" i="4"/>
  <c r="E16" i="4"/>
  <c r="E3" i="3"/>
  <c r="D6" i="3"/>
  <c r="I6" i="3" s="1"/>
  <c r="C43" i="4"/>
  <c r="I7" i="3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6" i="3"/>
  <c r="F7" i="3"/>
  <c r="F14" i="3"/>
  <c r="R43" i="4"/>
  <c r="F3" i="3"/>
  <c r="F15" i="3"/>
  <c r="F16" i="3" l="1"/>
</calcChain>
</file>

<file path=xl/sharedStrings.xml><?xml version="1.0" encoding="utf-8"?>
<sst xmlns="http://schemas.openxmlformats.org/spreadsheetml/2006/main" count="187" uniqueCount="56">
  <si>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</si>
  <si>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</si>
  <si>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</si>
  <si>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</si>
  <si>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</si>
  <si>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</si>
  <si>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</si>
  <si>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</si>
  <si>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</si>
  <si>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</si>
  <si>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</si>
  <si>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</si>
  <si>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</si>
  <si>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</si>
  <si>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</si>
  <si>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</si>
  <si>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</si>
  <si>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</si>
  <si>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</si>
  <si>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</si>
  <si>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</si>
  <si>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</si>
  <si>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</si>
  <si>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</si>
  <si>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</si>
  <si>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</si>
  <si>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</si>
  <si>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</si>
  <si>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</si>
  <si>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</si>
  <si>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</si>
  <si>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</si>
  <si>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</si>
  <si>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</si>
  <si>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</si>
  <si>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</si>
  <si>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</si>
  <si>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</si>
  <si>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</si>
  <si>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</si>
  <si>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</si>
  <si>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</si>
  <si>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</si>
  <si>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</si>
  <si>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</si>
  <si>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</si>
  <si>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</si>
  <si>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</si>
  <si>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</si>
  <si>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Đã trả đủ</t>
  </si>
  <si>
    <t>4 ngày</t>
  </si>
  <si>
    <t>3 ngày</t>
  </si>
  <si>
    <t>Nạp điện thoại</t>
  </si>
  <si>
    <t>7 ngày</t>
  </si>
  <si>
    <t>2 ngày</t>
  </si>
  <si>
    <t>Nguyễn Hoằng Gia Bảo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</si>
</sst>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2"/>
  <sheetViews>
    <sheetView tabSelected="1" zoomScale="80" zoomScaleNormal="80" workbookViewId="0">
      <selection activeCell="I20" sqref="I20"/>
    </sheetView>
  </sheetViews>
  <sheetFormatPr defaultRowHeight="15" x14ac:dyDescent="0.25"/>
  <cols>
    <col min="1" max="1" width="3.5703125" style="26" customWidth="1"/>
    <col min="2" max="2" width="31.140625" style="26" bestFit="1" customWidth="1"/>
    <col min="3" max="3" width="14" style="26" bestFit="1" customWidth="1"/>
    <col min="4" max="5" width="12.140625" style="26" customWidth="1"/>
    <col min="6" max="6" width="12.7109375" style="26" bestFit="1" customWidth="1"/>
    <col min="7" max="7" width="12.140625" style="26" customWidth="1"/>
    <col min="8" max="8" width="13.5703125" style="26" customWidth="1"/>
    <col min="9" max="9" width="18.42578125" style="26" customWidth="1"/>
    <col min="10" max="11" width="12.140625" style="26" customWidth="1"/>
    <col min="12" max="12" width="11.7109375" style="26" customWidth="1"/>
    <col min="13" max="13" width="15.7109375" style="26" customWidth="1"/>
    <col min="14" max="14" width="9.5703125" style="26" customWidth="1"/>
    <col min="15" max="15" width="9.140625" style="26"/>
    <col min="16" max="16" width="10.5703125" style="26" bestFit="1" customWidth="1"/>
    <col min="17" max="16384" width="9.140625" style="26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4" t="s">
        <v>18</v>
      </c>
      <c r="C2" s="1" t="s">
        <v>16</v>
      </c>
      <c r="D2" s="29">
        <v>350000</v>
      </c>
      <c r="E2" s="29">
        <v>0</v>
      </c>
      <c r="F2" s="29">
        <f>(D2+I2)-E2</f>
        <v>402500</v>
      </c>
      <c r="G2" s="29">
        <v>0</v>
      </c>
      <c r="H2" s="30">
        <v>0.15</v>
      </c>
      <c r="I2" s="29">
        <f>(D2*H2)</f>
        <v>52500</v>
      </c>
      <c r="J2" s="4">
        <v>45984</v>
      </c>
      <c r="K2" s="4">
        <v>46011</v>
      </c>
      <c r="L2" s="1" t="s">
        <v>51</v>
      </c>
      <c r="M2" s="1" t="s">
        <v>14</v>
      </c>
      <c r="Q2" s="6"/>
    </row>
    <row r="3" spans="1:17" x14ac:dyDescent="0.25">
      <c r="A3" s="1">
        <v>2</v>
      </c>
      <c r="B3" s="27" t="s">
        <v>23</v>
      </c>
      <c r="C3" s="7" t="s">
        <v>24</v>
      </c>
      <c r="D3" s="31">
        <v>20000</v>
      </c>
      <c r="E3" s="31">
        <f>10000</f>
        <v>10000</v>
      </c>
      <c r="F3" s="31">
        <f t="shared" ref="F3" si="0">(D3+I3)-E3</f>
        <v>10000</v>
      </c>
      <c r="G3" s="31">
        <v>0</v>
      </c>
      <c r="H3" s="32">
        <v>0</v>
      </c>
      <c r="I3" s="31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27" t="s">
        <v>17</v>
      </c>
      <c r="C4" s="7" t="s">
        <v>30</v>
      </c>
      <c r="D4" s="31">
        <v>30000</v>
      </c>
      <c r="E4" s="31">
        <v>0</v>
      </c>
      <c r="F4" s="31">
        <f>(D4+I4)-E4</f>
        <v>30000</v>
      </c>
      <c r="G4" s="31">
        <v>0</v>
      </c>
      <c r="H4" s="32">
        <v>0</v>
      </c>
      <c r="I4" s="31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5</v>
      </c>
      <c r="B5" s="28" t="s">
        <v>8</v>
      </c>
      <c r="C5" s="15" t="s">
        <v>3</v>
      </c>
      <c r="D5" s="33">
        <v>100000</v>
      </c>
      <c r="E5" s="33">
        <f>50000-29000+20000</f>
        <v>41000</v>
      </c>
      <c r="F5" s="33">
        <f t="shared" ref="F5" si="2">(D5+I5)-E5</f>
        <v>59000</v>
      </c>
      <c r="G5" s="33">
        <v>0</v>
      </c>
      <c r="H5" s="34">
        <v>0</v>
      </c>
      <c r="I5" s="33">
        <f t="shared" ref="I5" si="3">D5*H5</f>
        <v>0</v>
      </c>
      <c r="J5" s="16">
        <v>46001</v>
      </c>
      <c r="K5" s="16">
        <v>46010</v>
      </c>
      <c r="L5" s="15" t="s">
        <v>54</v>
      </c>
      <c r="M5" s="15" t="s">
        <v>14</v>
      </c>
    </row>
    <row r="6" spans="1:17" x14ac:dyDescent="0.25">
      <c r="A6" s="1">
        <v>6</v>
      </c>
      <c r="B6" s="28" t="s">
        <v>20</v>
      </c>
      <c r="C6" s="15" t="s">
        <v>3</v>
      </c>
      <c r="D6" s="33">
        <f>100000+50000</f>
        <v>150000</v>
      </c>
      <c r="E6" s="33">
        <f>10000+5000+23000+10000</f>
        <v>48000</v>
      </c>
      <c r="F6" s="33">
        <f t="shared" ref="F6:F7" si="4">(D6+I6)-E6</f>
        <v>102000</v>
      </c>
      <c r="G6" s="33">
        <v>0</v>
      </c>
      <c r="H6" s="34">
        <v>0</v>
      </c>
      <c r="I6" s="33">
        <f t="shared" ref="I6:I7" si="5">D6*H6</f>
        <v>0</v>
      </c>
      <c r="J6" s="16">
        <v>46001</v>
      </c>
      <c r="K6" s="16">
        <v>46010</v>
      </c>
      <c r="L6" s="15" t="s">
        <v>54</v>
      </c>
      <c r="M6" s="15" t="s">
        <v>14</v>
      </c>
    </row>
    <row r="7" spans="1:17" x14ac:dyDescent="0.25">
      <c r="A7" s="1">
        <v>7</v>
      </c>
      <c r="B7" s="39" t="s">
        <v>42</v>
      </c>
      <c r="C7" s="40" t="s">
        <v>3</v>
      </c>
      <c r="D7" s="41">
        <v>50000</v>
      </c>
      <c r="E7" s="41">
        <f>30000+20000</f>
        <v>50000</v>
      </c>
      <c r="F7" s="41">
        <f t="shared" si="4"/>
        <v>0</v>
      </c>
      <c r="G7" s="41">
        <v>0</v>
      </c>
      <c r="H7" s="42">
        <v>0</v>
      </c>
      <c r="I7" s="41">
        <f t="shared" si="5"/>
        <v>0</v>
      </c>
      <c r="J7" s="43">
        <v>46001</v>
      </c>
      <c r="K7" s="43">
        <v>46009</v>
      </c>
      <c r="L7" s="40"/>
      <c r="M7" s="40" t="s">
        <v>49</v>
      </c>
    </row>
    <row r="8" spans="1:17" x14ac:dyDescent="0.25">
      <c r="A8" s="1">
        <v>11</v>
      </c>
      <c r="B8" s="24" t="s">
        <v>8</v>
      </c>
      <c r="C8" s="1" t="s">
        <v>3</v>
      </c>
      <c r="D8" s="29">
        <v>20000</v>
      </c>
      <c r="E8" s="29">
        <v>0</v>
      </c>
      <c r="F8" s="29">
        <f t="shared" ref="F8" si="6">(D8+I8)-E8</f>
        <v>20000</v>
      </c>
      <c r="G8" s="29">
        <v>0</v>
      </c>
      <c r="H8" s="30">
        <v>0</v>
      </c>
      <c r="I8" s="29">
        <f t="shared" ref="I8" si="7">D8*H8</f>
        <v>0</v>
      </c>
      <c r="J8" s="4">
        <v>46006</v>
      </c>
      <c r="K8" s="4">
        <v>46012</v>
      </c>
      <c r="L8" s="1" t="s">
        <v>50</v>
      </c>
      <c r="M8" s="1" t="s">
        <v>14</v>
      </c>
    </row>
    <row r="9" spans="1:17" x14ac:dyDescent="0.25">
      <c r="A9" s="1">
        <v>15</v>
      </c>
      <c r="B9" s="39" t="s">
        <v>22</v>
      </c>
      <c r="C9" s="40" t="s">
        <v>52</v>
      </c>
      <c r="D9" s="41">
        <v>20000</v>
      </c>
      <c r="E9" s="41">
        <v>20000</v>
      </c>
      <c r="F9" s="41">
        <f t="shared" ref="F9" si="8">(D9+I9)-E9</f>
        <v>0</v>
      </c>
      <c r="G9" s="41">
        <v>0</v>
      </c>
      <c r="H9" s="42">
        <v>0</v>
      </c>
      <c r="I9" s="41">
        <f t="shared" ref="I9" si="9">D9*H9</f>
        <v>0</v>
      </c>
      <c r="J9" s="43">
        <v>46008</v>
      </c>
      <c r="K9" s="43">
        <v>46009</v>
      </c>
      <c r="L9" s="40"/>
      <c r="M9" s="40" t="s">
        <v>14</v>
      </c>
    </row>
    <row r="10" spans="1:17" x14ac:dyDescent="0.25">
      <c r="A10" s="1">
        <v>16</v>
      </c>
      <c r="B10" s="24" t="s">
        <v>19</v>
      </c>
      <c r="C10" s="1" t="s">
        <v>16</v>
      </c>
      <c r="D10" s="29">
        <v>50000</v>
      </c>
      <c r="E10" s="29">
        <v>0</v>
      </c>
      <c r="F10" s="29">
        <f t="shared" ref="F10" si="10">(D10+I10)-E10</f>
        <v>50000</v>
      </c>
      <c r="G10" s="29">
        <v>0</v>
      </c>
      <c r="H10" s="30">
        <v>0</v>
      </c>
      <c r="I10" s="29">
        <f t="shared" ref="I10" si="11">D10*H10</f>
        <v>0</v>
      </c>
      <c r="J10" s="4">
        <v>46009</v>
      </c>
      <c r="K10" s="4">
        <v>46015</v>
      </c>
      <c r="L10" s="1" t="s">
        <v>53</v>
      </c>
      <c r="M10" s="1" t="s">
        <v>14</v>
      </c>
    </row>
    <row r="11" spans="1:17" x14ac:dyDescent="0.25">
      <c r="A11" s="1">
        <v>17</v>
      </c>
      <c r="B11" s="39" t="s">
        <v>55</v>
      </c>
      <c r="C11" s="40" t="s">
        <v>30</v>
      </c>
      <c r="D11" s="41">
        <v>5000</v>
      </c>
      <c r="E11" s="41">
        <v>5000</v>
      </c>
      <c r="F11" s="41">
        <f t="shared" ref="F11" si="12">(D11+I11)-E11</f>
        <v>0</v>
      </c>
      <c r="G11" s="41">
        <v>0</v>
      </c>
      <c r="H11" s="42">
        <v>0</v>
      </c>
      <c r="I11" s="41">
        <f t="shared" ref="I11" si="13">D11*H11</f>
        <v>0</v>
      </c>
      <c r="J11" s="43">
        <v>46009</v>
      </c>
      <c r="K11" s="43">
        <v>46009</v>
      </c>
      <c r="L11" s="40"/>
      <c r="M11" s="40" t="s">
        <v>49</v>
      </c>
    </row>
    <row r="12" spans="1:17" x14ac:dyDescent="0.25">
      <c r="A12" s="1">
        <v>18</v>
      </c>
      <c r="B12" s="24"/>
      <c r="C12" s="1"/>
      <c r="D12" s="35"/>
      <c r="E12" s="35"/>
      <c r="F12" s="35"/>
      <c r="G12" s="35"/>
      <c r="H12" s="24"/>
      <c r="I12" s="35"/>
      <c r="J12" s="24"/>
      <c r="K12" s="25"/>
      <c r="L12" s="24"/>
      <c r="M12" s="24"/>
    </row>
    <row r="13" spans="1:17" ht="24" x14ac:dyDescent="0.25">
      <c r="B13" s="36" t="s">
        <v>33</v>
      </c>
      <c r="C13" s="36"/>
      <c r="D13" s="45" t="s">
        <v>34</v>
      </c>
      <c r="E13" s="45"/>
      <c r="F13" s="45"/>
      <c r="G13" s="45"/>
    </row>
    <row r="14" spans="1:17" x14ac:dyDescent="0.25">
      <c r="D14" s="44" t="s">
        <v>28</v>
      </c>
      <c r="E14" s="44"/>
      <c r="F14" s="37">
        <f>SUM(D2:D12)</f>
        <v>795000</v>
      </c>
      <c r="G14" s="38"/>
      <c r="J14" s="38"/>
    </row>
    <row r="15" spans="1:17" x14ac:dyDescent="0.25">
      <c r="D15" s="44" t="s">
        <v>29</v>
      </c>
      <c r="E15" s="44"/>
      <c r="F15" s="37">
        <f>SUM(E2:E12)</f>
        <v>174000</v>
      </c>
      <c r="G15" s="38"/>
      <c r="M15" s="26" t="s">
        <v>41</v>
      </c>
    </row>
    <row r="16" spans="1:17" x14ac:dyDescent="0.25">
      <c r="D16" s="44" t="s">
        <v>27</v>
      </c>
      <c r="E16" s="44"/>
      <c r="F16" s="37">
        <f>-SUM(F2:F12)</f>
        <v>-673500</v>
      </c>
      <c r="G16" s="38"/>
    </row>
    <row r="18" spans="6:7" x14ac:dyDescent="0.25">
      <c r="F18" s="38"/>
      <c r="G18" s="38"/>
    </row>
    <row r="19" spans="6:7" x14ac:dyDescent="0.25">
      <c r="F19" s="38"/>
      <c r="G19" s="38"/>
    </row>
    <row r="20" spans="6:7" x14ac:dyDescent="0.25">
      <c r="F20" s="38"/>
      <c r="G20" s="38"/>
    </row>
    <row r="21" spans="6:7" x14ac:dyDescent="0.25">
      <c r="F21" s="38"/>
    </row>
    <row r="22" spans="6:7" x14ac:dyDescent="0.25">
      <c r="F22" s="38"/>
    </row>
  </sheetData>
  <mergeCells count="4">
    <mergeCell ref="D14:E14"/>
    <mergeCell ref="D15:E15"/>
    <mergeCell ref="D16:E16"/>
    <mergeCell ref="D13:G13"/>
  </mergeCells>
  <phoneticPr fontId="1" type="noConversion"/>
  <hyperlinks>
    <hyperlink ref="D13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99"/>
  <sheetViews>
    <sheetView topLeftCell="A71" workbookViewId="0">
      <selection activeCell="D86" sqref="D86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52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/>
      <c r="B86" s="19"/>
      <c r="C86" s="20"/>
      <c r="D86" s="22"/>
    </row>
    <row r="87" spans="1:4" ht="18.75" x14ac:dyDescent="0.25">
      <c r="A87" s="21"/>
      <c r="B87" s="19"/>
      <c r="C87" s="20"/>
      <c r="D87" s="22"/>
    </row>
    <row r="88" spans="1:4" ht="18.75" x14ac:dyDescent="0.25">
      <c r="A88" s="21"/>
      <c r="B88" s="19"/>
      <c r="C88" s="20"/>
      <c r="D88" s="22"/>
    </row>
    <row r="89" spans="1:4" ht="18.75" x14ac:dyDescent="0.25">
      <c r="A89" s="21"/>
      <c r="B89" s="19"/>
      <c r="C89" s="20"/>
      <c r="D89" s="22"/>
    </row>
    <row r="90" spans="1:4" ht="18.75" x14ac:dyDescent="0.25">
      <c r="A90" s="21"/>
      <c r="B90" s="19"/>
      <c r="C90" s="20"/>
      <c r="D90" s="22"/>
    </row>
    <row r="91" spans="1:4" ht="18.75" x14ac:dyDescent="0.25">
      <c r="A91" s="21"/>
      <c r="B91" s="19"/>
      <c r="C91" s="20"/>
      <c r="D91" s="22"/>
    </row>
    <row r="92" spans="1:4" ht="18.75" x14ac:dyDescent="0.25">
      <c r="A92" s="21"/>
      <c r="B92" s="19"/>
      <c r="C92" s="20"/>
      <c r="D92" s="22"/>
    </row>
    <row r="93" spans="1:4" ht="18.75" x14ac:dyDescent="0.25">
      <c r="A93" s="21"/>
      <c r="B93" s="19"/>
      <c r="C93" s="20"/>
      <c r="D93" s="22"/>
    </row>
    <row r="94" spans="1:4" ht="18.75" x14ac:dyDescent="0.25">
      <c r="A94" s="21"/>
      <c r="B94" s="19"/>
      <c r="C94" s="20"/>
      <c r="D94" s="22"/>
    </row>
    <row r="95" spans="1:4" ht="18.75" x14ac:dyDescent="0.25">
      <c r="A95" s="21"/>
      <c r="B95" s="19"/>
      <c r="C95" s="20"/>
      <c r="D95" s="22"/>
    </row>
    <row r="96" spans="1:4" ht="18.75" x14ac:dyDescent="0.25">
      <c r="A96" s="21"/>
      <c r="B96" s="19"/>
      <c r="C96" s="20"/>
      <c r="D96" s="22"/>
    </row>
    <row r="97" spans="1:4" ht="18.75" x14ac:dyDescent="0.25">
      <c r="A97" s="21"/>
      <c r="B97" s="19"/>
      <c r="C97" s="20"/>
      <c r="D97" s="22"/>
    </row>
    <row r="98" spans="1:4" ht="18.75" x14ac:dyDescent="0.25">
      <c r="A98" s="21"/>
      <c r="B98" s="19"/>
      <c r="C98" s="20"/>
      <c r="D98" s="22"/>
    </row>
    <row r="99" spans="1:4" ht="18.75" x14ac:dyDescent="0.25">
      <c r="A99" s="21"/>
      <c r="B99" s="19"/>
      <c r="C99" s="20"/>
      <c r="D9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2025-12-18T16:16:56Z</dcterms:modified>
</cp:coreProperties>
</file>