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nh-Long-Pro\Documents\DU LIEU THONG KE THONG TIN\"/>
    </mc:Choice>
  </mc:AlternateContent>
  <xr:revisionPtr revIDLastSave="0" documentId="13_ncr:1_{CAB1E4C6-5BBE-4FFB-B641-18A6ADC64B8E}" xr6:coauthVersionLast="47" xr6:coauthVersionMax="47" xr10:uidLastSave="{00000000-0000-0000-0000-000000000000}"/>
  <bookViews>
    <workbookView xWindow="-120" yWindow="-120" windowWidth="20730" windowHeight="11160" tabRatio="700" xr2:uid="{2B03B8C2-EDB1-4332-BDB1-5B951D9D9968}"/>
  </bookViews>
  <sheets>
    <sheet name="DANH SÁCH NỢ" sheetId="3" r:id="rId1"/>
    <sheet name="THONG KE NAP " sheetId="8" r:id="rId2"/>
    <sheet name="THỐNG KÊ NẠP" sheetId="4" r:id="rId3"/>
    <sheet name="THỐNG KÊ NẠP NEW" sheetId="6" r:id="rId4"/>
  </sheets>
  <definedNames>
    <definedName name="_xlnm._FilterDatabase" localSheetId="2" hidden="1">'THỐNG KÊ NẠP'!$A$1:$U$41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5" i="3"/>
  <c r="I15" i="3"/>
  <c r="F15" i="3" s="1"/>
  <c r="E8" i="3"/>
  <c r="D11" i="3"/>
  <c r="I11" i="3" s="1"/>
  <c r="F11" i="3" s="1"/>
  <c r="I14" i="3"/>
  <c r="F14" i="3" s="1"/>
  <c r="I12" i="3"/>
  <c r="F12" i="3" s="1"/>
  <c r="I13" i="3"/>
  <c r="F13" i="3" s="1"/>
  <c r="I10" i="3"/>
  <c r="F10" i="3" s="1"/>
  <c r="I9" i="3"/>
  <c r="F9" i="3" s="1"/>
  <c r="U43" i="4"/>
  <c r="T43" i="4"/>
  <c r="R26" i="4"/>
  <c r="R25" i="4"/>
  <c r="R19" i="4"/>
  <c r="R8" i="4"/>
  <c r="G20" i="4"/>
  <c r="G43" i="4" s="1"/>
  <c r="F10" i="4"/>
  <c r="E16" i="4"/>
  <c r="E3" i="3"/>
  <c r="D7" i="3"/>
  <c r="I7" i="3" s="1"/>
  <c r="C43" i="4"/>
  <c r="I8" i="3"/>
  <c r="I6" i="3"/>
  <c r="F6" i="3" s="1"/>
  <c r="I5" i="3"/>
  <c r="I2" i="3"/>
  <c r="F2" i="3" s="1"/>
  <c r="D43" i="4"/>
  <c r="Q43" i="4"/>
  <c r="K43" i="4"/>
  <c r="S43" i="4"/>
  <c r="J43" i="4"/>
  <c r="E43" i="4"/>
  <c r="P43" i="4"/>
  <c r="F43" i="4"/>
  <c r="I4" i="3"/>
  <c r="F4" i="3" s="1"/>
  <c r="I3" i="3"/>
  <c r="H43" i="4"/>
  <c r="I43" i="4"/>
  <c r="L43" i="4"/>
  <c r="M43" i="4"/>
  <c r="N43" i="4"/>
  <c r="O43" i="4"/>
  <c r="B43" i="4"/>
  <c r="F7" i="3" l="1"/>
  <c r="F8" i="3"/>
  <c r="F21" i="3"/>
  <c r="R43" i="4"/>
  <c r="F5" i="3"/>
  <c r="F3" i="3"/>
  <c r="F22" i="3"/>
  <c r="F23" i="3" l="1"/>
</calcChain>
</file>

<file path=xl/sharedStrings.xml><?xml version="1.0" encoding="utf-8"?>
<sst xmlns="http://schemas.openxmlformats.org/spreadsheetml/2006/main" count="372" uniqueCount="97">
  <si>
    <t>STT</t>
  </si>
  <si>
    <t>Họ và tên</t>
  </si>
  <si>
    <t>Nội dung</t>
  </si>
  <si>
    <t>Mua thẻ Zing</t>
  </si>
  <si>
    <t>Phải trả</t>
  </si>
  <si>
    <t>Bắt đầu</t>
  </si>
  <si>
    <t>Kết thúc</t>
  </si>
  <si>
    <t>Còn lại</t>
  </si>
  <si>
    <t>Huỳnh Nguyễn Bảo Trân</t>
  </si>
  <si>
    <t>Số phần trăm</t>
  </si>
  <si>
    <t>Số tiền tương ứng</t>
  </si>
  <si>
    <t>Thời gian</t>
  </si>
  <si>
    <t>Tổng:</t>
  </si>
  <si>
    <t>Thông tin</t>
  </si>
  <si>
    <t>Chưa trả đủ</t>
  </si>
  <si>
    <t>Huỳnh Gia Phú</t>
  </si>
  <si>
    <t>Nạp Free Fire</t>
  </si>
  <si>
    <t>Huỳnh Quốc Phú</t>
  </si>
  <si>
    <t>Nguyễn Hiếu Nghĩa (9a3)</t>
  </si>
  <si>
    <t>Nguyễn Huy Hoàng</t>
  </si>
  <si>
    <t>Trần Huỳnh Như Ý</t>
  </si>
  <si>
    <t>Dương Thế Vinh</t>
  </si>
  <si>
    <t>Nguyễn Hữu Nhân</t>
  </si>
  <si>
    <t>Nguyễn Hiếu Nghĩa</t>
  </si>
  <si>
    <t>Mua thẻ Viettel</t>
  </si>
  <si>
    <t>Trần Minh Đạt (9a5)</t>
  </si>
  <si>
    <t>Nguyễn Hoàng Gia Bảo</t>
  </si>
  <si>
    <t>Tổng số tiền nợ còn lại:</t>
  </si>
  <si>
    <t>Tổng số tiền phải trả nợ:</t>
  </si>
  <si>
    <t>Tổng số tiền đã trả nợ:</t>
  </si>
  <si>
    <t>Nạp quân huy</t>
  </si>
  <si>
    <t>Bonus</t>
  </si>
  <si>
    <t>Đã trả</t>
  </si>
  <si>
    <t>Điều khoản dịch vụ:</t>
  </si>
  <si>
    <t>https://tinyurl.com/dieukhoan29</t>
  </si>
  <si>
    <t>Lại Quốc Khải</t>
  </si>
  <si>
    <t>Nguyễn Huỳnh Anh Thư</t>
  </si>
  <si>
    <t>Võ Hoàng Tuấn</t>
  </si>
  <si>
    <t>Nguyễn Phước Dăng Tùng (NaOH)</t>
  </si>
  <si>
    <t>Bùi Anh Tài</t>
  </si>
  <si>
    <t>Thông thường</t>
  </si>
  <si>
    <t>Nguyễn Hoàng Như Hảo</t>
  </si>
  <si>
    <t xml:space="preserve"> </t>
  </si>
  <si>
    <t>Lê Ngọc Như Ý</t>
  </si>
  <si>
    <t>Mua Robux</t>
  </si>
  <si>
    <t>6 ngày</t>
  </si>
  <si>
    <t>Lê Hoàng Thiên Ân</t>
  </si>
  <si>
    <t>Bùi Khánh Duy</t>
  </si>
  <si>
    <t>Ngày</t>
  </si>
  <si>
    <t>Số tiền</t>
  </si>
  <si>
    <t>18/11/2025</t>
  </si>
  <si>
    <t>100.000 đ</t>
  </si>
  <si>
    <t>20/11/2025</t>
  </si>
  <si>
    <t>20.000 đ</t>
  </si>
  <si>
    <t>21/11/2025</t>
  </si>
  <si>
    <t>230.000 đ</t>
  </si>
  <si>
    <t>75.000 đ</t>
  </si>
  <si>
    <t>300.000 đ</t>
  </si>
  <si>
    <t>50.000 đ</t>
  </si>
  <si>
    <t>5.000 đ</t>
  </si>
  <si>
    <t>22/11/2025</t>
  </si>
  <si>
    <t>250.000 đ</t>
  </si>
  <si>
    <t>23/11/2025</t>
  </si>
  <si>
    <t>350.000 đ</t>
  </si>
  <si>
    <t>24/11/2025</t>
  </si>
  <si>
    <t>130.000 đ</t>
  </si>
  <si>
    <t>200.000 đ</t>
  </si>
  <si>
    <t>26/11/2025</t>
  </si>
  <si>
    <t>180.000 đ</t>
  </si>
  <si>
    <t>70.000 đ</t>
  </si>
  <si>
    <t>27/11/2025</t>
  </si>
  <si>
    <t>28/11/2025</t>
  </si>
  <si>
    <t>60.000 đ</t>
  </si>
  <si>
    <t>29/11/2025</t>
  </si>
  <si>
    <t>175.000 đ</t>
  </si>
  <si>
    <t>30/11/2025</t>
  </si>
  <si>
    <t>270.000 đ</t>
  </si>
  <si>
    <t>40.000 đ</t>
  </si>
  <si>
    <t>80.000 đ</t>
  </si>
  <si>
    <t>500.000 đ</t>
  </si>
  <si>
    <t>Nguyễn Phước Dũng Tùng (NaOH)</t>
  </si>
  <si>
    <t>540.000 đ</t>
  </si>
  <si>
    <t>145.000 đ</t>
  </si>
  <si>
    <t>10.000 đ</t>
  </si>
  <si>
    <t>120.000 đ</t>
  </si>
  <si>
    <t>105.000 đ</t>
  </si>
  <si>
    <t>150.000 đ</t>
  </si>
  <si>
    <t>95.000 đ</t>
  </si>
  <si>
    <t>340.000 đ</t>
  </si>
  <si>
    <t>13/12/2025</t>
  </si>
  <si>
    <t>14/12/2025</t>
  </si>
  <si>
    <t>BỎ</t>
  </si>
  <si>
    <t>2 ngày</t>
  </si>
  <si>
    <t>5 ngày</t>
  </si>
  <si>
    <t>Đã trả đủ</t>
  </si>
  <si>
    <t>Nạp Robux</t>
  </si>
  <si>
    <t>4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</si>
</sst>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1010000]d/m/yyyy;@"/>
    <numFmt numFmtId="166" formatCode="_-* #,##0.000\ [$₫-42A]_-;\-* #,##0.000\ [$₫-42A]_-;_-* &quot;-&quot;???\ [$₫-42A]_-;_-@_-"/>
    <numFmt numFmtId="167" formatCode="_-* #,##0\ [$₫-42A]_-;\-* #,##0\ [$₫-42A]_-;_-* &quot;-&quot;\ [$₫-42A]_-;_-@_-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rgb="FF1F1F1F"/>
      <name val="Times New Roman"/>
      <family val="1"/>
    </font>
    <font>
      <sz val="14"/>
      <color rgb="FF1F1F1F"/>
      <name val="Times New Roman"/>
      <family val="1"/>
    </font>
    <font>
      <b/>
      <sz val="15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167" fontId="0" fillId="0" borderId="2" xfId="0" applyNumberFormat="1" applyBorder="1"/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 indent="1" readingOrder="1"/>
    </xf>
    <xf numFmtId="0" fontId="7" fillId="0" borderId="1" xfId="0" applyFont="1" applyBorder="1" applyAlignment="1">
      <alignment horizontal="left" vertical="center" indent="1" readingOrder="1"/>
    </xf>
    <xf numFmtId="14" fontId="7" fillId="0" borderId="1" xfId="0" applyNumberFormat="1" applyFont="1" applyBorder="1" applyAlignment="1">
      <alignment horizontal="left" vertical="center" indent="1" readingOrder="1"/>
    </xf>
    <xf numFmtId="0" fontId="6" fillId="2" borderId="1" xfId="0" applyFont="1" applyFill="1" applyBorder="1" applyAlignment="1">
      <alignment vertical="center" readingOrder="1"/>
    </xf>
    <xf numFmtId="0" fontId="7" fillId="0" borderId="1" xfId="0" applyFont="1" applyBorder="1" applyAlignment="1">
      <alignment vertical="center" readingOrder="1"/>
    </xf>
    <xf numFmtId="167" fontId="7" fillId="0" borderId="1" xfId="0" applyNumberFormat="1" applyFont="1" applyBorder="1" applyAlignment="1">
      <alignment vertical="center" readingOrder="1"/>
    </xf>
    <xf numFmtId="165" fontId="7" fillId="0" borderId="1" xfId="0" applyNumberFormat="1" applyFont="1" applyBorder="1" applyAlignment="1">
      <alignment vertical="center" readingOrder="1"/>
    </xf>
    <xf numFmtId="167" fontId="7" fillId="0" borderId="1" xfId="0" applyNumberFormat="1" applyFont="1" applyBorder="1" applyAlignment="1">
      <alignment horizontal="left" vertical="center" indent="1" readingOrder="1"/>
    </xf>
    <xf numFmtId="0" fontId="7" fillId="0" borderId="1" xfId="0" applyFont="1" applyBorder="1" applyAlignment="1">
      <alignment horizontal="right" vertical="center" readingOrder="1"/>
    </xf>
    <xf numFmtId="0" fontId="0" fillId="0" borderId="0" xfId="0" applyAlignment="1">
      <alignment horizontal="right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7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67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167" fontId="0" fillId="4" borderId="1" xfId="0" applyNumberFormat="1" applyFill="1" applyBorder="1" applyAlignment="1">
      <alignment vertical="center"/>
    </xf>
    <xf numFmtId="9" fontId="0" fillId="4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167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8" fillId="0" borderId="5" xfId="0" applyFont="1" applyBorder="1" applyAlignment="1">
      <alignment horizontal="left" vertical="center" indent="1" readingOrder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167" fontId="0" fillId="5" borderId="1" xfId="0" applyNumberFormat="1" applyFill="1" applyBorder="1" applyAlignment="1">
      <alignment vertical="center"/>
    </xf>
    <xf numFmtId="9" fontId="0" fillId="5" borderId="1" xfId="0" applyNumberFormat="1" applyFill="1" applyBorder="1" applyAlignment="1">
      <alignment vertical="center"/>
    </xf>
    <xf numFmtId="165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4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4F4F"/>
      <color rgb="FFFF2929"/>
      <color rgb="FFF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nyurl.com/dieukhoan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C2E0-1FB2-4505-A56E-E149D9D304FF}">
  <sheetPr codeName="Sheet2"/>
  <dimension ref="A1:Q29"/>
  <sheetViews>
    <sheetView tabSelected="1" zoomScale="80" zoomScaleNormal="80" workbookViewId="0">
      <selection activeCell="E10" sqref="E10"/>
    </sheetView>
  </sheetViews>
  <sheetFormatPr defaultRowHeight="15" x14ac:dyDescent="0.25"/>
  <cols>
    <col min="1" max="1" width="3.5703125" style="30" customWidth="1"/>
    <col min="2" max="2" width="31.140625" style="30" bestFit="1" customWidth="1"/>
    <col min="3" max="3" width="14" style="30" bestFit="1" customWidth="1"/>
    <col min="4" max="5" width="12.140625" style="30" customWidth="1"/>
    <col min="6" max="6" width="12.7109375" style="30" bestFit="1" customWidth="1"/>
    <col min="7" max="7" width="12.140625" style="30" customWidth="1"/>
    <col min="8" max="8" width="13.5703125" style="30" customWidth="1"/>
    <col min="9" max="9" width="18.42578125" style="30" customWidth="1"/>
    <col min="10" max="11" width="12.140625" style="30" customWidth="1"/>
    <col min="12" max="12" width="11.7109375" style="30" customWidth="1"/>
    <col min="13" max="13" width="15.7109375" style="30" customWidth="1"/>
    <col min="14" max="14" width="9.5703125" style="30" customWidth="1"/>
    <col min="15" max="15" width="9.140625" style="30"/>
    <col min="16" max="16" width="10.5703125" style="30" bestFit="1" customWidth="1"/>
    <col min="17" max="16384" width="9.140625" style="30"/>
  </cols>
  <sheetData>
    <row r="1" spans="1:17" x14ac:dyDescent="0.25">
      <c r="A1" s="3" t="s">
        <v>0</v>
      </c>
      <c r="B1" s="3" t="s">
        <v>1</v>
      </c>
      <c r="C1" s="11" t="s">
        <v>2</v>
      </c>
      <c r="D1" s="3" t="s">
        <v>4</v>
      </c>
      <c r="E1" s="3" t="s">
        <v>32</v>
      </c>
      <c r="F1" s="3" t="s">
        <v>7</v>
      </c>
      <c r="G1" s="3" t="s">
        <v>31</v>
      </c>
      <c r="H1" s="3" t="s">
        <v>9</v>
      </c>
      <c r="I1" s="3" t="s">
        <v>10</v>
      </c>
      <c r="J1" s="3" t="s">
        <v>5</v>
      </c>
      <c r="K1" s="3" t="s">
        <v>6</v>
      </c>
      <c r="L1" s="3" t="s">
        <v>7</v>
      </c>
      <c r="M1" s="3" t="s">
        <v>13</v>
      </c>
    </row>
    <row r="2" spans="1:17" x14ac:dyDescent="0.25">
      <c r="A2" s="1">
        <v>1</v>
      </c>
      <c r="B2" s="28" t="s">
        <v>18</v>
      </c>
      <c r="C2" s="1" t="s">
        <v>16</v>
      </c>
      <c r="D2" s="33">
        <v>350000</v>
      </c>
      <c r="E2" s="33">
        <v>0</v>
      </c>
      <c r="F2" s="33">
        <f>(D2+I2)-E2</f>
        <v>402500</v>
      </c>
      <c r="G2" s="33">
        <v>0</v>
      </c>
      <c r="H2" s="34">
        <v>0.15</v>
      </c>
      <c r="I2" s="33">
        <f>(D2*H2)</f>
        <v>52500</v>
      </c>
      <c r="J2" s="4">
        <v>45984</v>
      </c>
      <c r="K2" s="4">
        <v>46011</v>
      </c>
      <c r="L2" s="1" t="s">
        <v>93</v>
      </c>
      <c r="M2" s="1" t="s">
        <v>14</v>
      </c>
      <c r="Q2" s="6"/>
    </row>
    <row r="3" spans="1:17" x14ac:dyDescent="0.25">
      <c r="A3" s="1">
        <v>2</v>
      </c>
      <c r="B3" s="31" t="s">
        <v>23</v>
      </c>
      <c r="C3" s="7" t="s">
        <v>24</v>
      </c>
      <c r="D3" s="35">
        <v>20000</v>
      </c>
      <c r="E3" s="35">
        <f>10000</f>
        <v>10000</v>
      </c>
      <c r="F3" s="35">
        <f t="shared" ref="F3" si="0">(D3+I3)-E3</f>
        <v>10000</v>
      </c>
      <c r="G3" s="35">
        <v>0</v>
      </c>
      <c r="H3" s="36">
        <v>0</v>
      </c>
      <c r="I3" s="35">
        <f t="shared" ref="I3" si="1">D3*H3</f>
        <v>0</v>
      </c>
      <c r="J3" s="8">
        <v>45985</v>
      </c>
      <c r="K3" s="8"/>
      <c r="L3" s="7"/>
      <c r="M3" s="7" t="s">
        <v>14</v>
      </c>
      <c r="Q3" s="6"/>
    </row>
    <row r="4" spans="1:17" x14ac:dyDescent="0.25">
      <c r="A4" s="1">
        <v>3</v>
      </c>
      <c r="B4" s="31" t="s">
        <v>17</v>
      </c>
      <c r="C4" s="7" t="s">
        <v>30</v>
      </c>
      <c r="D4" s="35">
        <v>30000</v>
      </c>
      <c r="E4" s="35">
        <v>0</v>
      </c>
      <c r="F4" s="35">
        <f>(D4+I4)-E4</f>
        <v>30000</v>
      </c>
      <c r="G4" s="35">
        <v>0</v>
      </c>
      <c r="H4" s="36">
        <v>0</v>
      </c>
      <c r="I4" s="35">
        <f>D4*H4</f>
        <v>0</v>
      </c>
      <c r="J4" s="8">
        <v>45987</v>
      </c>
      <c r="K4" s="8"/>
      <c r="L4" s="7"/>
      <c r="M4" s="7" t="s">
        <v>14</v>
      </c>
    </row>
    <row r="5" spans="1:17" x14ac:dyDescent="0.25">
      <c r="A5" s="1">
        <v>4</v>
      </c>
      <c r="B5" s="32" t="s">
        <v>8</v>
      </c>
      <c r="C5" s="15" t="s">
        <v>3</v>
      </c>
      <c r="D5" s="37">
        <v>120000</v>
      </c>
      <c r="E5" s="37">
        <f>50000-16000+50000+7000</f>
        <v>91000</v>
      </c>
      <c r="F5" s="37">
        <f t="shared" ref="F5" si="2">(D5+I5)-E5</f>
        <v>29000</v>
      </c>
      <c r="G5" s="37">
        <v>0</v>
      </c>
      <c r="H5" s="38">
        <v>0</v>
      </c>
      <c r="I5" s="37">
        <f t="shared" ref="I5" si="3">D5*H5</f>
        <v>0</v>
      </c>
      <c r="J5" s="16">
        <v>45999</v>
      </c>
      <c r="K5" s="16">
        <v>46008</v>
      </c>
      <c r="L5" s="15" t="s">
        <v>92</v>
      </c>
      <c r="M5" s="15" t="s">
        <v>14</v>
      </c>
    </row>
    <row r="6" spans="1:17" x14ac:dyDescent="0.25">
      <c r="A6" s="1">
        <v>5</v>
      </c>
      <c r="B6" s="32" t="s">
        <v>8</v>
      </c>
      <c r="C6" s="15" t="s">
        <v>3</v>
      </c>
      <c r="D6" s="37">
        <v>100000</v>
      </c>
      <c r="E6" s="37">
        <v>0</v>
      </c>
      <c r="F6" s="37">
        <f t="shared" ref="F6" si="4">(D6+I6)-E6</f>
        <v>100000</v>
      </c>
      <c r="G6" s="37">
        <v>0</v>
      </c>
      <c r="H6" s="38">
        <v>0</v>
      </c>
      <c r="I6" s="37">
        <f t="shared" ref="I6" si="5">D6*H6</f>
        <v>0</v>
      </c>
      <c r="J6" s="16">
        <v>46001</v>
      </c>
      <c r="K6" s="16">
        <v>46010</v>
      </c>
      <c r="L6" s="15" t="s">
        <v>96</v>
      </c>
      <c r="M6" s="15" t="s">
        <v>14</v>
      </c>
    </row>
    <row r="7" spans="1:17" x14ac:dyDescent="0.25">
      <c r="A7" s="1">
        <v>6</v>
      </c>
      <c r="B7" s="32" t="s">
        <v>20</v>
      </c>
      <c r="C7" s="15" t="s">
        <v>3</v>
      </c>
      <c r="D7" s="37">
        <f>100000+50000</f>
        <v>150000</v>
      </c>
      <c r="E7" s="37">
        <f>10000+5000+23000</f>
        <v>38000</v>
      </c>
      <c r="F7" s="37">
        <f t="shared" ref="F7:F8" si="6">(D7+I7)-E7</f>
        <v>112000</v>
      </c>
      <c r="G7" s="37">
        <v>0</v>
      </c>
      <c r="H7" s="38">
        <v>0</v>
      </c>
      <c r="I7" s="37">
        <f t="shared" ref="I7:I8" si="7">D7*H7</f>
        <v>0</v>
      </c>
      <c r="J7" s="16">
        <v>46001</v>
      </c>
      <c r="K7" s="16">
        <v>46010</v>
      </c>
      <c r="L7" s="15" t="s">
        <v>96</v>
      </c>
      <c r="M7" s="15" t="s">
        <v>14</v>
      </c>
    </row>
    <row r="8" spans="1:17" x14ac:dyDescent="0.25">
      <c r="A8" s="1">
        <v>7</v>
      </c>
      <c r="B8" s="32" t="s">
        <v>43</v>
      </c>
      <c r="C8" s="15" t="s">
        <v>3</v>
      </c>
      <c r="D8" s="37">
        <v>50000</v>
      </c>
      <c r="E8" s="37">
        <f>30000</f>
        <v>30000</v>
      </c>
      <c r="F8" s="37">
        <f t="shared" si="6"/>
        <v>20000</v>
      </c>
      <c r="G8" s="37">
        <v>0</v>
      </c>
      <c r="H8" s="38">
        <v>0</v>
      </c>
      <c r="I8" s="37">
        <f t="shared" si="7"/>
        <v>0</v>
      </c>
      <c r="J8" s="16">
        <v>46001</v>
      </c>
      <c r="K8" s="16">
        <v>46010</v>
      </c>
      <c r="L8" s="15" t="s">
        <v>96</v>
      </c>
      <c r="M8" s="15" t="s">
        <v>14</v>
      </c>
    </row>
    <row r="9" spans="1:17" x14ac:dyDescent="0.25">
      <c r="A9" s="1">
        <v>8</v>
      </c>
      <c r="B9" s="44" t="s">
        <v>36</v>
      </c>
      <c r="C9" s="45" t="s">
        <v>30</v>
      </c>
      <c r="D9" s="46">
        <v>5000</v>
      </c>
      <c r="E9" s="46">
        <v>5000</v>
      </c>
      <c r="F9" s="46">
        <f t="shared" ref="F9" si="8">(D9+I9)-E9</f>
        <v>0</v>
      </c>
      <c r="G9" s="46">
        <v>0</v>
      </c>
      <c r="H9" s="47">
        <v>0</v>
      </c>
      <c r="I9" s="46">
        <f t="shared" ref="I9" si="9">D9*H9</f>
        <v>0</v>
      </c>
      <c r="J9" s="48">
        <v>46005</v>
      </c>
      <c r="K9" s="48">
        <v>46007</v>
      </c>
      <c r="L9" s="45"/>
      <c r="M9" s="45" t="s">
        <v>94</v>
      </c>
    </row>
    <row r="10" spans="1:17" x14ac:dyDescent="0.25">
      <c r="A10" s="1">
        <v>9</v>
      </c>
      <c r="B10" s="28" t="s">
        <v>26</v>
      </c>
      <c r="C10" s="1" t="s">
        <v>40</v>
      </c>
      <c r="D10" s="33">
        <v>5000</v>
      </c>
      <c r="E10" s="33">
        <v>0</v>
      </c>
      <c r="F10" s="33">
        <f t="shared" ref="F10" si="10">(D10+I10)-E10</f>
        <v>5000</v>
      </c>
      <c r="G10" s="33">
        <v>0</v>
      </c>
      <c r="H10" s="34">
        <v>0</v>
      </c>
      <c r="I10" s="33">
        <f t="shared" ref="I10" si="11">D10*H10</f>
        <v>0</v>
      </c>
      <c r="J10" s="4">
        <v>46005</v>
      </c>
      <c r="K10" s="4">
        <v>46011</v>
      </c>
      <c r="L10" s="1" t="s">
        <v>93</v>
      </c>
      <c r="M10" s="1" t="s">
        <v>14</v>
      </c>
    </row>
    <row r="11" spans="1:17" x14ac:dyDescent="0.25">
      <c r="A11" s="1">
        <v>10</v>
      </c>
      <c r="B11" s="28" t="s">
        <v>26</v>
      </c>
      <c r="C11" s="1" t="s">
        <v>44</v>
      </c>
      <c r="D11" s="33">
        <f>70000+150000+20000+20000</f>
        <v>260000</v>
      </c>
      <c r="E11" s="33">
        <v>0</v>
      </c>
      <c r="F11" s="33">
        <f t="shared" ref="F11" si="12">(D11+I11)-E11</f>
        <v>260000</v>
      </c>
      <c r="G11" s="33">
        <v>0</v>
      </c>
      <c r="H11" s="34">
        <v>0</v>
      </c>
      <c r="I11" s="33">
        <f t="shared" ref="I11" si="13">D11*H11</f>
        <v>0</v>
      </c>
      <c r="J11" s="4">
        <v>46006</v>
      </c>
      <c r="K11" s="4">
        <v>46012</v>
      </c>
      <c r="L11" s="1" t="s">
        <v>45</v>
      </c>
      <c r="M11" s="1" t="s">
        <v>14</v>
      </c>
    </row>
    <row r="12" spans="1:17" x14ac:dyDescent="0.25">
      <c r="A12" s="1">
        <v>11</v>
      </c>
      <c r="B12" s="28" t="s">
        <v>8</v>
      </c>
      <c r="C12" s="1" t="s">
        <v>3</v>
      </c>
      <c r="D12" s="33">
        <v>20000</v>
      </c>
      <c r="E12" s="33">
        <v>0</v>
      </c>
      <c r="F12" s="33">
        <f t="shared" ref="F12:F13" si="14">(D12+I12)-E12</f>
        <v>20000</v>
      </c>
      <c r="G12" s="33">
        <v>0</v>
      </c>
      <c r="H12" s="34">
        <v>0</v>
      </c>
      <c r="I12" s="33">
        <f t="shared" ref="I12:I13" si="15">D12*H12</f>
        <v>0</v>
      </c>
      <c r="J12" s="4">
        <v>46006</v>
      </c>
      <c r="K12" s="4">
        <v>46012</v>
      </c>
      <c r="L12" s="1" t="s">
        <v>45</v>
      </c>
      <c r="M12" s="1" t="s">
        <v>14</v>
      </c>
    </row>
    <row r="13" spans="1:17" x14ac:dyDescent="0.25">
      <c r="A13" s="1">
        <v>12</v>
      </c>
      <c r="B13" s="28" t="s">
        <v>37</v>
      </c>
      <c r="C13" s="1" t="s">
        <v>30</v>
      </c>
      <c r="D13" s="33">
        <v>10000</v>
      </c>
      <c r="E13" s="33">
        <v>0</v>
      </c>
      <c r="F13" s="33">
        <f t="shared" si="14"/>
        <v>10000</v>
      </c>
      <c r="G13" s="33">
        <v>0</v>
      </c>
      <c r="H13" s="34">
        <v>0</v>
      </c>
      <c r="I13" s="33">
        <f t="shared" si="15"/>
        <v>0</v>
      </c>
      <c r="J13" s="4">
        <v>46006</v>
      </c>
      <c r="K13" s="4">
        <v>46012</v>
      </c>
      <c r="L13" s="1" t="s">
        <v>45</v>
      </c>
      <c r="M13" s="1" t="s">
        <v>14</v>
      </c>
    </row>
    <row r="14" spans="1:17" x14ac:dyDescent="0.25">
      <c r="A14" s="1">
        <v>13</v>
      </c>
      <c r="B14" s="28" t="s">
        <v>39</v>
      </c>
      <c r="C14" s="1" t="s">
        <v>30</v>
      </c>
      <c r="D14" s="33">
        <v>60000</v>
      </c>
      <c r="E14" s="33">
        <v>0</v>
      </c>
      <c r="F14" s="33">
        <f t="shared" ref="F14" si="16">(D14+I14)-E14</f>
        <v>60000</v>
      </c>
      <c r="G14" s="33">
        <v>0</v>
      </c>
      <c r="H14" s="34">
        <v>0</v>
      </c>
      <c r="I14" s="33">
        <f t="shared" ref="I14" si="17">D14*H14</f>
        <v>0</v>
      </c>
      <c r="J14" s="4">
        <v>46006</v>
      </c>
      <c r="K14" s="4">
        <v>46012</v>
      </c>
      <c r="L14" s="1" t="s">
        <v>45</v>
      </c>
      <c r="M14" s="1" t="s">
        <v>14</v>
      </c>
    </row>
    <row r="15" spans="1:17" x14ac:dyDescent="0.25">
      <c r="A15" s="1">
        <v>14</v>
      </c>
      <c r="B15" s="28" t="s">
        <v>26</v>
      </c>
      <c r="C15" s="1" t="s">
        <v>95</v>
      </c>
      <c r="D15" s="33">
        <v>20000</v>
      </c>
      <c r="E15" s="33">
        <v>0</v>
      </c>
      <c r="F15" s="33">
        <f t="shared" ref="F15" si="18">(D15+I15)-E15</f>
        <v>20000</v>
      </c>
      <c r="G15" s="33">
        <v>0</v>
      </c>
      <c r="H15" s="34">
        <v>0</v>
      </c>
      <c r="I15" s="33">
        <f t="shared" ref="I15" si="19">D15*H15</f>
        <v>0</v>
      </c>
      <c r="J15" s="4">
        <v>46007</v>
      </c>
      <c r="K15" s="4">
        <v>46013</v>
      </c>
      <c r="L15" s="1" t="s">
        <v>45</v>
      </c>
      <c r="M15" s="1" t="s">
        <v>14</v>
      </c>
    </row>
    <row r="16" spans="1:17" x14ac:dyDescent="0.25">
      <c r="A16" s="1">
        <v>15</v>
      </c>
      <c r="B16" s="28"/>
      <c r="C16" s="1"/>
      <c r="D16" s="33"/>
      <c r="E16" s="33"/>
      <c r="F16" s="33"/>
      <c r="G16" s="33"/>
      <c r="H16" s="34"/>
      <c r="I16" s="33"/>
      <c r="J16" s="4"/>
      <c r="K16" s="4"/>
      <c r="L16" s="1"/>
      <c r="M16" s="1"/>
    </row>
    <row r="17" spans="1:13" x14ac:dyDescent="0.25">
      <c r="A17" s="1">
        <v>16</v>
      </c>
      <c r="B17" s="28"/>
      <c r="C17" s="1"/>
      <c r="D17" s="33"/>
      <c r="E17" s="33"/>
      <c r="F17" s="33"/>
      <c r="G17" s="33"/>
      <c r="H17" s="34"/>
      <c r="I17" s="33"/>
      <c r="J17" s="4"/>
      <c r="K17" s="4"/>
      <c r="L17" s="1"/>
      <c r="M17" s="1"/>
    </row>
    <row r="18" spans="1:13" x14ac:dyDescent="0.25">
      <c r="A18" s="1">
        <v>17</v>
      </c>
      <c r="B18" s="28"/>
      <c r="C18" s="1"/>
      <c r="D18" s="33"/>
      <c r="E18" s="33"/>
      <c r="F18" s="33"/>
      <c r="G18" s="33"/>
      <c r="H18" s="34"/>
      <c r="I18" s="33"/>
      <c r="J18" s="4"/>
      <c r="K18" s="4"/>
      <c r="L18" s="1"/>
      <c r="M18" s="1"/>
    </row>
    <row r="19" spans="1:13" x14ac:dyDescent="0.25">
      <c r="A19" s="1">
        <v>18</v>
      </c>
      <c r="B19" s="28"/>
      <c r="C19" s="1"/>
      <c r="D19" s="39"/>
      <c r="E19" s="39"/>
      <c r="F19" s="39"/>
      <c r="G19" s="39"/>
      <c r="H19" s="28"/>
      <c r="I19" s="39"/>
      <c r="J19" s="28"/>
      <c r="K19" s="29"/>
      <c r="L19" s="28"/>
      <c r="M19" s="28"/>
    </row>
    <row r="20" spans="1:13" ht="24" x14ac:dyDescent="0.25">
      <c r="B20" s="40" t="s">
        <v>33</v>
      </c>
      <c r="C20" s="40"/>
      <c r="D20" s="50" t="s">
        <v>34</v>
      </c>
      <c r="E20" s="50"/>
      <c r="F20" s="50"/>
      <c r="G20" s="50"/>
    </row>
    <row r="21" spans="1:13" x14ac:dyDescent="0.25">
      <c r="D21" s="49" t="s">
        <v>28</v>
      </c>
      <c r="E21" s="49"/>
      <c r="F21" s="41">
        <f>SUM(D2:D19)</f>
        <v>1200000</v>
      </c>
      <c r="G21" s="42"/>
      <c r="J21" s="42"/>
    </row>
    <row r="22" spans="1:13" x14ac:dyDescent="0.25">
      <c r="D22" s="49" t="s">
        <v>29</v>
      </c>
      <c r="E22" s="49"/>
      <c r="F22" s="41">
        <f>SUM(E2:E19)</f>
        <v>174000</v>
      </c>
      <c r="G22" s="42"/>
      <c r="M22" s="30" t="s">
        <v>42</v>
      </c>
    </row>
    <row r="23" spans="1:13" x14ac:dyDescent="0.25">
      <c r="D23" s="49" t="s">
        <v>27</v>
      </c>
      <c r="E23" s="49"/>
      <c r="F23" s="41">
        <f>-SUM(F2:F19)</f>
        <v>-1078500</v>
      </c>
      <c r="G23" s="42"/>
    </row>
    <row r="25" spans="1:13" x14ac:dyDescent="0.25">
      <c r="F25" s="42"/>
      <c r="G25" s="42"/>
    </row>
    <row r="26" spans="1:13" x14ac:dyDescent="0.25">
      <c r="F26" s="42"/>
      <c r="G26" s="42"/>
    </row>
    <row r="27" spans="1:13" x14ac:dyDescent="0.25">
      <c r="F27" s="42"/>
      <c r="G27" s="42"/>
    </row>
    <row r="28" spans="1:13" x14ac:dyDescent="0.25">
      <c r="F28" s="42"/>
    </row>
    <row r="29" spans="1:13" x14ac:dyDescent="0.25">
      <c r="F29" s="42"/>
    </row>
  </sheetData>
  <mergeCells count="4">
    <mergeCell ref="D21:E21"/>
    <mergeCell ref="D22:E22"/>
    <mergeCell ref="D23:E23"/>
    <mergeCell ref="D20:G20"/>
  </mergeCells>
  <phoneticPr fontId="1" type="noConversion"/>
  <hyperlinks>
    <hyperlink ref="D20" r:id="rId1" xr:uid="{3AAA6378-907C-4E3A-B3A9-8AB285CE701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1776-2E13-4A0E-8D22-F638A9EA7E4B}">
  <dimension ref="A1:D99"/>
  <sheetViews>
    <sheetView topLeftCell="A75" workbookViewId="0">
      <selection activeCell="A81" sqref="A81:XFD81"/>
    </sheetView>
  </sheetViews>
  <sheetFormatPr defaultRowHeight="15" x14ac:dyDescent="0.25"/>
  <cols>
    <col min="1" max="1" width="13" bestFit="1" customWidth="1"/>
    <col min="2" max="2" width="40.140625" bestFit="1" customWidth="1"/>
    <col min="3" max="3" width="13.7109375" bestFit="1" customWidth="1"/>
    <col min="4" max="4" width="22.5703125" style="27" customWidth="1"/>
  </cols>
  <sheetData>
    <row r="1" spans="1:4" ht="18.75" x14ac:dyDescent="0.25">
      <c r="A1" s="21" t="s">
        <v>48</v>
      </c>
      <c r="B1" s="21" t="s">
        <v>1</v>
      </c>
      <c r="C1" s="21" t="s">
        <v>49</v>
      </c>
      <c r="D1" s="21" t="s">
        <v>2</v>
      </c>
    </row>
    <row r="2" spans="1:4" ht="18.75" x14ac:dyDescent="0.25">
      <c r="A2" s="24">
        <v>45979</v>
      </c>
      <c r="B2" s="22" t="s">
        <v>8</v>
      </c>
      <c r="C2" s="23">
        <v>100000</v>
      </c>
      <c r="D2" s="26" t="s">
        <v>3</v>
      </c>
    </row>
    <row r="3" spans="1:4" ht="18.75" x14ac:dyDescent="0.25">
      <c r="A3" s="24">
        <v>45979</v>
      </c>
      <c r="B3" s="22" t="s">
        <v>25</v>
      </c>
      <c r="C3" s="23">
        <v>100000</v>
      </c>
      <c r="D3" s="26"/>
    </row>
    <row r="4" spans="1:4" ht="18.75" x14ac:dyDescent="0.25">
      <c r="A4" s="24">
        <v>45981</v>
      </c>
      <c r="B4" s="22" t="s">
        <v>18</v>
      </c>
      <c r="C4" s="23">
        <v>20000</v>
      </c>
      <c r="D4" s="26"/>
    </row>
    <row r="5" spans="1:4" ht="18.75" x14ac:dyDescent="0.25">
      <c r="A5" s="24">
        <v>45982</v>
      </c>
      <c r="B5" s="22" t="s">
        <v>21</v>
      </c>
      <c r="C5" s="23">
        <v>50000</v>
      </c>
      <c r="D5" s="26"/>
    </row>
    <row r="6" spans="1:4" ht="18.75" x14ac:dyDescent="0.25">
      <c r="A6" s="24">
        <v>45982</v>
      </c>
      <c r="B6" s="22" t="s">
        <v>19</v>
      </c>
      <c r="C6" s="23">
        <v>300000</v>
      </c>
      <c r="D6" s="26"/>
    </row>
    <row r="7" spans="1:4" ht="18.75" x14ac:dyDescent="0.25">
      <c r="A7" s="24">
        <v>45982</v>
      </c>
      <c r="B7" s="22" t="s">
        <v>22</v>
      </c>
      <c r="C7" s="23">
        <v>5000</v>
      </c>
      <c r="D7" s="26"/>
    </row>
    <row r="8" spans="1:4" ht="18.75" x14ac:dyDescent="0.25">
      <c r="A8" s="24">
        <v>45982</v>
      </c>
      <c r="B8" s="22" t="s">
        <v>17</v>
      </c>
      <c r="C8" s="23">
        <v>230000</v>
      </c>
      <c r="D8" s="26"/>
    </row>
    <row r="9" spans="1:4" ht="18.75" x14ac:dyDescent="0.25">
      <c r="A9" s="24">
        <v>45982</v>
      </c>
      <c r="B9" s="22" t="s">
        <v>20</v>
      </c>
      <c r="C9" s="23">
        <v>100000</v>
      </c>
      <c r="D9" s="26"/>
    </row>
    <row r="10" spans="1:4" ht="18.75" x14ac:dyDescent="0.25">
      <c r="A10" s="24">
        <v>45982</v>
      </c>
      <c r="B10" s="22" t="s">
        <v>15</v>
      </c>
      <c r="C10" s="23">
        <v>75000</v>
      </c>
      <c r="D10" s="26"/>
    </row>
    <row r="11" spans="1:4" ht="18.75" x14ac:dyDescent="0.25">
      <c r="A11" s="24">
        <v>45983</v>
      </c>
      <c r="B11" s="22" t="s">
        <v>23</v>
      </c>
      <c r="C11" s="23">
        <v>250000</v>
      </c>
      <c r="D11" s="26"/>
    </row>
    <row r="12" spans="1:4" ht="18.75" x14ac:dyDescent="0.25">
      <c r="A12" s="24">
        <v>45984</v>
      </c>
      <c r="B12" s="22" t="s">
        <v>18</v>
      </c>
      <c r="C12" s="23">
        <v>350000</v>
      </c>
      <c r="D12" s="26"/>
    </row>
    <row r="13" spans="1:4" ht="18.75" x14ac:dyDescent="0.25">
      <c r="A13" s="24">
        <v>45985</v>
      </c>
      <c r="B13" s="22" t="s">
        <v>8</v>
      </c>
      <c r="C13" s="23">
        <v>20000</v>
      </c>
      <c r="D13" s="26"/>
    </row>
    <row r="14" spans="1:4" ht="18.75" x14ac:dyDescent="0.25">
      <c r="A14" s="24">
        <v>45985</v>
      </c>
      <c r="B14" s="22" t="s">
        <v>17</v>
      </c>
      <c r="C14" s="23">
        <v>130000</v>
      </c>
      <c r="D14" s="26"/>
    </row>
    <row r="15" spans="1:4" ht="18.75" x14ac:dyDescent="0.25">
      <c r="A15" s="24">
        <v>45985</v>
      </c>
      <c r="B15" s="22" t="s">
        <v>26</v>
      </c>
      <c r="C15" s="23">
        <v>200000</v>
      </c>
      <c r="D15" s="26"/>
    </row>
    <row r="16" spans="1:4" ht="18.75" x14ac:dyDescent="0.25">
      <c r="A16" s="24">
        <v>45987</v>
      </c>
      <c r="B16" s="22" t="s">
        <v>21</v>
      </c>
      <c r="C16" s="23">
        <v>20000</v>
      </c>
      <c r="D16" s="26"/>
    </row>
    <row r="17" spans="1:4" ht="18.75" x14ac:dyDescent="0.25">
      <c r="A17" s="24">
        <v>45987</v>
      </c>
      <c r="B17" s="22" t="s">
        <v>26</v>
      </c>
      <c r="C17" s="23">
        <v>70000</v>
      </c>
      <c r="D17" s="26"/>
    </row>
    <row r="18" spans="1:4" ht="18.75" x14ac:dyDescent="0.25">
      <c r="A18" s="24">
        <v>45987</v>
      </c>
      <c r="B18" s="22" t="s">
        <v>15</v>
      </c>
      <c r="C18" s="23">
        <v>50000</v>
      </c>
      <c r="D18" s="26"/>
    </row>
    <row r="19" spans="1:4" ht="18.75" x14ac:dyDescent="0.25">
      <c r="A19" s="24">
        <v>45987</v>
      </c>
      <c r="B19" s="22" t="s">
        <v>20</v>
      </c>
      <c r="C19" s="23">
        <v>100000</v>
      </c>
      <c r="D19" s="26"/>
    </row>
    <row r="20" spans="1:4" ht="18.75" x14ac:dyDescent="0.25">
      <c r="A20" s="24">
        <v>45987</v>
      </c>
      <c r="B20" s="22" t="s">
        <v>8</v>
      </c>
      <c r="C20" s="23">
        <v>200000</v>
      </c>
      <c r="D20" s="26"/>
    </row>
    <row r="21" spans="1:4" ht="18.75" x14ac:dyDescent="0.25">
      <c r="A21" s="24">
        <v>45987</v>
      </c>
      <c r="B21" s="22" t="s">
        <v>17</v>
      </c>
      <c r="C21" s="23">
        <v>180000</v>
      </c>
      <c r="D21" s="26"/>
    </row>
    <row r="22" spans="1:4" ht="18.75" x14ac:dyDescent="0.25">
      <c r="A22" s="24">
        <v>45988</v>
      </c>
      <c r="B22" s="22" t="s">
        <v>20</v>
      </c>
      <c r="C22" s="23">
        <v>20000</v>
      </c>
      <c r="D22" s="26"/>
    </row>
    <row r="23" spans="1:4" ht="18.75" x14ac:dyDescent="0.25">
      <c r="A23" s="24">
        <v>45989</v>
      </c>
      <c r="B23" s="22" t="s">
        <v>17</v>
      </c>
      <c r="C23" s="23">
        <v>60000</v>
      </c>
      <c r="D23" s="26"/>
    </row>
    <row r="24" spans="1:4" ht="18.75" x14ac:dyDescent="0.25">
      <c r="A24" s="24">
        <v>45990</v>
      </c>
      <c r="B24" s="22" t="s">
        <v>25</v>
      </c>
      <c r="C24" s="23">
        <v>175000</v>
      </c>
      <c r="D24" s="26"/>
    </row>
    <row r="25" spans="1:4" ht="18.75" x14ac:dyDescent="0.25">
      <c r="A25" s="24">
        <v>45990</v>
      </c>
      <c r="B25" s="22" t="s">
        <v>39</v>
      </c>
      <c r="C25" s="23">
        <v>200000</v>
      </c>
      <c r="D25" s="26"/>
    </row>
    <row r="26" spans="1:4" ht="18.75" x14ac:dyDescent="0.25">
      <c r="A26" s="24">
        <v>45991</v>
      </c>
      <c r="B26" s="22" t="s">
        <v>20</v>
      </c>
      <c r="C26" s="23">
        <v>100000</v>
      </c>
      <c r="D26" s="26"/>
    </row>
    <row r="27" spans="1:4" ht="18.75" x14ac:dyDescent="0.25">
      <c r="A27" s="24">
        <v>45991</v>
      </c>
      <c r="B27" s="22" t="s">
        <v>26</v>
      </c>
      <c r="C27" s="23">
        <v>270000</v>
      </c>
      <c r="D27" s="26"/>
    </row>
    <row r="28" spans="1:4" ht="18.75" x14ac:dyDescent="0.25">
      <c r="A28" s="24">
        <v>45992</v>
      </c>
      <c r="B28" s="22" t="s">
        <v>17</v>
      </c>
      <c r="C28" s="23">
        <v>5000</v>
      </c>
      <c r="D28" s="26"/>
    </row>
    <row r="29" spans="1:4" ht="18.75" x14ac:dyDescent="0.25">
      <c r="A29" s="24">
        <v>45992</v>
      </c>
      <c r="B29" s="22" t="s">
        <v>26</v>
      </c>
      <c r="C29" s="23">
        <v>5000</v>
      </c>
      <c r="D29" s="26"/>
    </row>
    <row r="30" spans="1:4" ht="18.75" x14ac:dyDescent="0.25">
      <c r="A30" s="24">
        <v>45992</v>
      </c>
      <c r="B30" s="22" t="s">
        <v>22</v>
      </c>
      <c r="C30" s="23">
        <v>5000</v>
      </c>
      <c r="D30" s="26"/>
    </row>
    <row r="31" spans="1:4" ht="18.75" x14ac:dyDescent="0.25">
      <c r="A31" s="24">
        <v>45993</v>
      </c>
      <c r="B31" s="22" t="s">
        <v>21</v>
      </c>
      <c r="C31" s="23">
        <v>5000</v>
      </c>
      <c r="D31" s="26"/>
    </row>
    <row r="32" spans="1:4" ht="18.75" x14ac:dyDescent="0.25">
      <c r="A32" s="24">
        <v>45993</v>
      </c>
      <c r="B32" s="22" t="s">
        <v>36</v>
      </c>
      <c r="C32" s="23">
        <v>5000</v>
      </c>
      <c r="D32" s="26"/>
    </row>
    <row r="33" spans="1:4" ht="18.75" x14ac:dyDescent="0.25">
      <c r="A33" s="24">
        <v>45993</v>
      </c>
      <c r="B33" s="22" t="s">
        <v>35</v>
      </c>
      <c r="C33" s="23">
        <v>5000</v>
      </c>
      <c r="D33" s="26"/>
    </row>
    <row r="34" spans="1:4" ht="18.75" x14ac:dyDescent="0.25">
      <c r="A34" s="24">
        <v>45993</v>
      </c>
      <c r="B34" s="22" t="s">
        <v>17</v>
      </c>
      <c r="C34" s="23">
        <v>40000</v>
      </c>
      <c r="D34" s="26"/>
    </row>
    <row r="35" spans="1:4" ht="18.75" x14ac:dyDescent="0.25">
      <c r="A35" s="24">
        <v>45993</v>
      </c>
      <c r="B35" s="22" t="s">
        <v>20</v>
      </c>
      <c r="C35" s="23">
        <v>20000</v>
      </c>
      <c r="D35" s="26"/>
    </row>
    <row r="36" spans="1:4" ht="18.75" x14ac:dyDescent="0.25">
      <c r="A36" s="24">
        <v>45993</v>
      </c>
      <c r="B36" s="22" t="s">
        <v>15</v>
      </c>
      <c r="C36" s="23">
        <v>80000</v>
      </c>
      <c r="D36" s="26"/>
    </row>
    <row r="37" spans="1:4" ht="18.75" x14ac:dyDescent="0.25">
      <c r="A37" s="24">
        <v>45994</v>
      </c>
      <c r="B37" s="22" t="s">
        <v>20</v>
      </c>
      <c r="C37" s="23">
        <v>100000</v>
      </c>
      <c r="D37" s="26"/>
    </row>
    <row r="38" spans="1:4" ht="18.75" x14ac:dyDescent="0.25">
      <c r="A38" s="24">
        <v>45994</v>
      </c>
      <c r="B38" s="22" t="s">
        <v>15</v>
      </c>
      <c r="C38" s="23">
        <v>50000</v>
      </c>
      <c r="D38" s="26"/>
    </row>
    <row r="39" spans="1:4" ht="18.75" x14ac:dyDescent="0.25">
      <c r="A39" s="24">
        <v>45994</v>
      </c>
      <c r="B39" s="22" t="s">
        <v>21</v>
      </c>
      <c r="C39" s="23">
        <v>40000</v>
      </c>
      <c r="D39" s="26"/>
    </row>
    <row r="40" spans="1:4" ht="18.75" x14ac:dyDescent="0.25">
      <c r="A40" s="24">
        <v>45995</v>
      </c>
      <c r="B40" s="22" t="s">
        <v>20</v>
      </c>
      <c r="C40" s="23">
        <v>100000</v>
      </c>
      <c r="D40" s="26"/>
    </row>
    <row r="41" spans="1:4" ht="18.75" x14ac:dyDescent="0.25">
      <c r="A41" s="24">
        <v>45995</v>
      </c>
      <c r="B41" s="22" t="s">
        <v>17</v>
      </c>
      <c r="C41" s="23">
        <v>50000</v>
      </c>
      <c r="D41" s="26"/>
    </row>
    <row r="42" spans="1:4" ht="18.75" x14ac:dyDescent="0.25">
      <c r="A42" s="24">
        <v>45996</v>
      </c>
      <c r="B42" s="22" t="s">
        <v>80</v>
      </c>
      <c r="C42" s="23">
        <v>540000</v>
      </c>
      <c r="D42" s="26"/>
    </row>
    <row r="43" spans="1:4" ht="18.75" x14ac:dyDescent="0.25">
      <c r="A43" s="24">
        <v>45996</v>
      </c>
      <c r="B43" s="22" t="s">
        <v>37</v>
      </c>
      <c r="C43" s="23">
        <v>5000</v>
      </c>
      <c r="D43" s="26"/>
    </row>
    <row r="44" spans="1:4" ht="18.75" x14ac:dyDescent="0.25">
      <c r="A44" s="24">
        <v>45996</v>
      </c>
      <c r="B44" s="22" t="s">
        <v>26</v>
      </c>
      <c r="C44" s="23">
        <v>500000</v>
      </c>
      <c r="D44" s="26"/>
    </row>
    <row r="45" spans="1:4" ht="18.75" x14ac:dyDescent="0.25">
      <c r="A45" s="24">
        <v>45997</v>
      </c>
      <c r="B45" s="22" t="s">
        <v>8</v>
      </c>
      <c r="C45" s="23">
        <v>100000</v>
      </c>
      <c r="D45" s="26"/>
    </row>
    <row r="46" spans="1:4" ht="18.75" x14ac:dyDescent="0.25">
      <c r="A46" s="24">
        <v>45997</v>
      </c>
      <c r="B46" s="22" t="s">
        <v>41</v>
      </c>
      <c r="C46" s="23">
        <v>200000</v>
      </c>
      <c r="D46" s="26"/>
    </row>
    <row r="47" spans="1:4" ht="18.75" x14ac:dyDescent="0.25">
      <c r="A47" s="24">
        <v>45997</v>
      </c>
      <c r="B47" s="22" t="s">
        <v>25</v>
      </c>
      <c r="C47" s="23">
        <v>145000</v>
      </c>
      <c r="D47" s="26"/>
    </row>
    <row r="48" spans="1:4" ht="18.75" x14ac:dyDescent="0.25">
      <c r="A48" s="24">
        <v>45997</v>
      </c>
      <c r="B48" s="22" t="s">
        <v>18</v>
      </c>
      <c r="C48" s="23">
        <v>10000</v>
      </c>
      <c r="D48" s="26"/>
    </row>
    <row r="49" spans="1:4" ht="18.75" x14ac:dyDescent="0.25">
      <c r="A49" s="24">
        <v>45998</v>
      </c>
      <c r="B49" s="22" t="s">
        <v>80</v>
      </c>
      <c r="C49" s="23">
        <v>100000</v>
      </c>
      <c r="D49" s="26"/>
    </row>
    <row r="50" spans="1:4" ht="18.75" x14ac:dyDescent="0.25">
      <c r="A50" s="24">
        <v>45999</v>
      </c>
      <c r="B50" s="22" t="s">
        <v>41</v>
      </c>
      <c r="C50" s="23">
        <v>200000</v>
      </c>
      <c r="D50" s="26"/>
    </row>
    <row r="51" spans="1:4" ht="18.75" x14ac:dyDescent="0.25">
      <c r="A51" s="24">
        <v>45999</v>
      </c>
      <c r="B51" s="22" t="s">
        <v>20</v>
      </c>
      <c r="C51" s="23">
        <v>100000</v>
      </c>
      <c r="D51" s="26"/>
    </row>
    <row r="52" spans="1:4" ht="18.75" x14ac:dyDescent="0.25">
      <c r="A52" s="24">
        <v>45999</v>
      </c>
      <c r="B52" s="22" t="s">
        <v>8</v>
      </c>
      <c r="C52" s="23">
        <v>120000</v>
      </c>
      <c r="D52" s="26"/>
    </row>
    <row r="53" spans="1:4" ht="18.75" x14ac:dyDescent="0.25">
      <c r="A53" s="24">
        <v>46000</v>
      </c>
      <c r="B53" s="22" t="s">
        <v>19</v>
      </c>
      <c r="C53" s="23">
        <v>200000</v>
      </c>
      <c r="D53" s="26"/>
    </row>
    <row r="54" spans="1:4" ht="18.75" x14ac:dyDescent="0.25">
      <c r="A54" s="24">
        <v>46000</v>
      </c>
      <c r="B54" s="22" t="s">
        <v>26</v>
      </c>
      <c r="C54" s="23">
        <v>105000</v>
      </c>
      <c r="D54" s="26"/>
    </row>
    <row r="55" spans="1:4" ht="18.75" x14ac:dyDescent="0.25">
      <c r="A55" s="24">
        <v>46001</v>
      </c>
      <c r="B55" s="22" t="s">
        <v>8</v>
      </c>
      <c r="C55" s="23">
        <v>100000</v>
      </c>
      <c r="D55" s="26"/>
    </row>
    <row r="56" spans="1:4" ht="18.75" x14ac:dyDescent="0.25">
      <c r="A56" s="24">
        <v>46001</v>
      </c>
      <c r="B56" s="22" t="s">
        <v>43</v>
      </c>
      <c r="C56" s="23">
        <v>50000</v>
      </c>
      <c r="D56" s="26"/>
    </row>
    <row r="57" spans="1:4" ht="18.75" x14ac:dyDescent="0.25">
      <c r="A57" s="24">
        <v>46001</v>
      </c>
      <c r="B57" s="22" t="s">
        <v>20</v>
      </c>
      <c r="C57" s="23">
        <v>150000</v>
      </c>
      <c r="D57" s="26"/>
    </row>
    <row r="58" spans="1:4" ht="18.75" x14ac:dyDescent="0.25">
      <c r="A58" s="24">
        <v>46001</v>
      </c>
      <c r="B58" s="22" t="s">
        <v>26</v>
      </c>
      <c r="C58" s="23">
        <v>20000</v>
      </c>
      <c r="D58" s="26"/>
    </row>
    <row r="59" spans="1:4" ht="18.75" x14ac:dyDescent="0.25">
      <c r="A59" s="24">
        <v>46002</v>
      </c>
      <c r="B59" s="22" t="s">
        <v>19</v>
      </c>
      <c r="C59" s="23">
        <v>100000</v>
      </c>
      <c r="D59" s="26"/>
    </row>
    <row r="60" spans="1:4" ht="18.75" x14ac:dyDescent="0.25">
      <c r="A60" s="24">
        <v>46002</v>
      </c>
      <c r="B60" s="22" t="s">
        <v>26</v>
      </c>
      <c r="C60" s="23">
        <v>120000</v>
      </c>
      <c r="D60" s="26"/>
    </row>
    <row r="61" spans="1:4" ht="18.75" x14ac:dyDescent="0.25">
      <c r="A61" s="24">
        <v>46003</v>
      </c>
      <c r="B61" s="22" t="s">
        <v>8</v>
      </c>
      <c r="C61" s="23">
        <v>20000</v>
      </c>
      <c r="D61" s="26"/>
    </row>
    <row r="62" spans="1:4" ht="18.75" x14ac:dyDescent="0.25">
      <c r="A62" s="24">
        <v>46003</v>
      </c>
      <c r="B62" s="22" t="s">
        <v>22</v>
      </c>
      <c r="C62" s="23">
        <v>50000</v>
      </c>
      <c r="D62" s="26"/>
    </row>
    <row r="63" spans="1:4" ht="18.75" x14ac:dyDescent="0.25">
      <c r="A63" s="24">
        <v>46003</v>
      </c>
      <c r="B63" s="22" t="s">
        <v>26</v>
      </c>
      <c r="C63" s="23">
        <v>95000</v>
      </c>
      <c r="D63" s="26"/>
    </row>
    <row r="64" spans="1:4" ht="18.75" x14ac:dyDescent="0.25">
      <c r="A64" s="24">
        <v>46003</v>
      </c>
      <c r="B64" s="22" t="s">
        <v>39</v>
      </c>
      <c r="C64" s="23">
        <v>150000</v>
      </c>
      <c r="D64" s="26" t="s">
        <v>30</v>
      </c>
    </row>
    <row r="65" spans="1:4" ht="18.75" x14ac:dyDescent="0.25">
      <c r="A65" s="24">
        <v>46003</v>
      </c>
      <c r="B65" s="22" t="s">
        <v>80</v>
      </c>
      <c r="C65" s="23">
        <v>340000</v>
      </c>
      <c r="D65" s="26" t="s">
        <v>24</v>
      </c>
    </row>
    <row r="66" spans="1:4" ht="18.75" x14ac:dyDescent="0.25">
      <c r="A66" s="24">
        <v>46004</v>
      </c>
      <c r="B66" s="22" t="s">
        <v>18</v>
      </c>
      <c r="C66" s="23">
        <v>20000</v>
      </c>
      <c r="D66" s="26" t="s">
        <v>16</v>
      </c>
    </row>
    <row r="67" spans="1:4" ht="18.75" x14ac:dyDescent="0.25">
      <c r="A67" s="24">
        <v>46004</v>
      </c>
      <c r="B67" s="22" t="s">
        <v>17</v>
      </c>
      <c r="C67" s="23">
        <v>50000</v>
      </c>
      <c r="D67" s="26" t="s">
        <v>30</v>
      </c>
    </row>
    <row r="68" spans="1:4" ht="18.75" x14ac:dyDescent="0.25">
      <c r="A68" s="24">
        <v>46004</v>
      </c>
      <c r="B68" s="22" t="s">
        <v>46</v>
      </c>
      <c r="C68" s="23">
        <v>20000</v>
      </c>
      <c r="D68" s="26" t="s">
        <v>16</v>
      </c>
    </row>
    <row r="69" spans="1:4" ht="18.75" x14ac:dyDescent="0.25">
      <c r="A69" s="24">
        <v>46004</v>
      </c>
      <c r="B69" s="22" t="s">
        <v>8</v>
      </c>
      <c r="C69" s="23">
        <v>20000</v>
      </c>
      <c r="D69" s="26" t="s">
        <v>3</v>
      </c>
    </row>
    <row r="70" spans="1:4" ht="18.75" x14ac:dyDescent="0.25">
      <c r="A70" s="24">
        <v>46004</v>
      </c>
      <c r="B70" s="22" t="s">
        <v>41</v>
      </c>
      <c r="C70" s="23">
        <v>100000</v>
      </c>
      <c r="D70" s="26" t="s">
        <v>3</v>
      </c>
    </row>
    <row r="71" spans="1:4" ht="18.75" x14ac:dyDescent="0.25">
      <c r="A71" s="24">
        <v>46004</v>
      </c>
      <c r="B71" s="22" t="s">
        <v>25</v>
      </c>
      <c r="C71" s="23">
        <v>50000</v>
      </c>
      <c r="D71" s="26" t="s">
        <v>44</v>
      </c>
    </row>
    <row r="72" spans="1:4" ht="18.75" x14ac:dyDescent="0.25">
      <c r="A72" s="24">
        <v>46005</v>
      </c>
      <c r="B72" s="22" t="s">
        <v>47</v>
      </c>
      <c r="C72" s="23">
        <v>20000</v>
      </c>
      <c r="D72" s="26" t="s">
        <v>16</v>
      </c>
    </row>
    <row r="73" spans="1:4" ht="18.75" x14ac:dyDescent="0.25">
      <c r="A73" s="24">
        <v>46005</v>
      </c>
      <c r="B73" s="22" t="s">
        <v>36</v>
      </c>
      <c r="C73" s="23">
        <v>5000</v>
      </c>
      <c r="D73" s="26" t="s">
        <v>30</v>
      </c>
    </row>
    <row r="74" spans="1:4" ht="18.75" x14ac:dyDescent="0.25">
      <c r="A74" s="24">
        <v>46005</v>
      </c>
      <c r="B74" s="22" t="s">
        <v>8</v>
      </c>
      <c r="C74" s="23">
        <v>20000</v>
      </c>
      <c r="D74" s="26" t="s">
        <v>3</v>
      </c>
    </row>
    <row r="75" spans="1:4" ht="18.75" x14ac:dyDescent="0.25">
      <c r="A75" s="24">
        <v>46005</v>
      </c>
      <c r="B75" s="22" t="s">
        <v>21</v>
      </c>
      <c r="C75" s="23">
        <v>50000</v>
      </c>
      <c r="D75" s="26" t="s">
        <v>30</v>
      </c>
    </row>
    <row r="76" spans="1:4" ht="18.75" x14ac:dyDescent="0.25">
      <c r="A76" s="24">
        <v>46006</v>
      </c>
      <c r="B76" s="22" t="s">
        <v>26</v>
      </c>
      <c r="C76" s="23">
        <v>70000</v>
      </c>
      <c r="D76" s="26" t="s">
        <v>44</v>
      </c>
    </row>
    <row r="77" spans="1:4" ht="18.75" x14ac:dyDescent="0.25">
      <c r="A77" s="24">
        <v>46006</v>
      </c>
      <c r="B77" s="22" t="s">
        <v>8</v>
      </c>
      <c r="C77" s="23">
        <v>20000</v>
      </c>
      <c r="D77" s="26" t="s">
        <v>3</v>
      </c>
    </row>
    <row r="78" spans="1:4" ht="18.75" x14ac:dyDescent="0.25">
      <c r="A78" s="24">
        <v>46006</v>
      </c>
      <c r="B78" s="22" t="s">
        <v>37</v>
      </c>
      <c r="C78" s="23">
        <v>10000</v>
      </c>
      <c r="D78" s="26" t="s">
        <v>30</v>
      </c>
    </row>
    <row r="79" spans="1:4" ht="18.75" x14ac:dyDescent="0.25">
      <c r="A79" s="24">
        <v>46006</v>
      </c>
      <c r="B79" s="22" t="s">
        <v>39</v>
      </c>
      <c r="C79" s="23">
        <v>60000</v>
      </c>
      <c r="D79" s="26" t="s">
        <v>30</v>
      </c>
    </row>
    <row r="80" spans="1:4" ht="18.75" x14ac:dyDescent="0.25">
      <c r="A80" s="24">
        <v>46007</v>
      </c>
      <c r="B80" s="22" t="s">
        <v>26</v>
      </c>
      <c r="C80" s="23">
        <v>20000</v>
      </c>
      <c r="D80" s="26" t="s">
        <v>44</v>
      </c>
    </row>
    <row r="81" spans="1:4" ht="18.75" x14ac:dyDescent="0.25">
      <c r="A81" s="24"/>
      <c r="B81" s="22"/>
      <c r="C81" s="23"/>
      <c r="D81" s="26"/>
    </row>
    <row r="82" spans="1:4" ht="18.75" x14ac:dyDescent="0.25">
      <c r="A82" s="24"/>
      <c r="B82" s="22"/>
      <c r="C82" s="23"/>
      <c r="D82" s="26"/>
    </row>
    <row r="83" spans="1:4" ht="18.75" x14ac:dyDescent="0.25">
      <c r="A83" s="24"/>
      <c r="B83" s="22"/>
      <c r="C83" s="23"/>
      <c r="D83" s="26"/>
    </row>
    <row r="84" spans="1:4" ht="18.75" x14ac:dyDescent="0.25">
      <c r="A84" s="24"/>
      <c r="B84" s="22"/>
      <c r="C84" s="23"/>
      <c r="D84" s="26"/>
    </row>
    <row r="85" spans="1:4" ht="18.75" x14ac:dyDescent="0.25">
      <c r="A85" s="24"/>
      <c r="B85" s="22"/>
      <c r="C85" s="23"/>
      <c r="D85" s="26"/>
    </row>
    <row r="86" spans="1:4" ht="18.75" x14ac:dyDescent="0.25">
      <c r="A86" s="24"/>
      <c r="B86" s="22"/>
      <c r="C86" s="23"/>
      <c r="D86" s="26"/>
    </row>
    <row r="87" spans="1:4" ht="18.75" x14ac:dyDescent="0.25">
      <c r="A87" s="24"/>
      <c r="B87" s="22"/>
      <c r="C87" s="23"/>
      <c r="D87" s="26"/>
    </row>
    <row r="88" spans="1:4" ht="18.75" x14ac:dyDescent="0.25">
      <c r="A88" s="24"/>
      <c r="B88" s="22"/>
      <c r="C88" s="23"/>
      <c r="D88" s="26"/>
    </row>
    <row r="89" spans="1:4" ht="18.75" x14ac:dyDescent="0.25">
      <c r="A89" s="24"/>
      <c r="B89" s="22"/>
      <c r="C89" s="23"/>
      <c r="D89" s="26"/>
    </row>
    <row r="90" spans="1:4" ht="18.75" x14ac:dyDescent="0.25">
      <c r="A90" s="24"/>
      <c r="B90" s="22"/>
      <c r="C90" s="23"/>
      <c r="D90" s="26"/>
    </row>
    <row r="91" spans="1:4" ht="18.75" x14ac:dyDescent="0.25">
      <c r="A91" s="24"/>
      <c r="B91" s="22"/>
      <c r="C91" s="23"/>
      <c r="D91" s="26"/>
    </row>
    <row r="92" spans="1:4" ht="18.75" x14ac:dyDescent="0.25">
      <c r="A92" s="24"/>
      <c r="B92" s="22"/>
      <c r="C92" s="23"/>
      <c r="D92" s="26"/>
    </row>
    <row r="93" spans="1:4" ht="18.75" x14ac:dyDescent="0.25">
      <c r="A93" s="24"/>
      <c r="B93" s="22"/>
      <c r="C93" s="23"/>
      <c r="D93" s="26"/>
    </row>
    <row r="94" spans="1:4" ht="18.75" x14ac:dyDescent="0.25">
      <c r="A94" s="24"/>
      <c r="B94" s="22"/>
      <c r="C94" s="23"/>
      <c r="D94" s="26"/>
    </row>
    <row r="95" spans="1:4" ht="18.75" x14ac:dyDescent="0.25">
      <c r="A95" s="24"/>
      <c r="B95" s="22"/>
      <c r="C95" s="23"/>
      <c r="D95" s="26"/>
    </row>
    <row r="96" spans="1:4" ht="18.75" x14ac:dyDescent="0.25">
      <c r="A96" s="24"/>
      <c r="B96" s="22"/>
      <c r="C96" s="23"/>
      <c r="D96" s="26"/>
    </row>
    <row r="97" spans="1:4" ht="18.75" x14ac:dyDescent="0.25">
      <c r="A97" s="24"/>
      <c r="B97" s="22"/>
      <c r="C97" s="23"/>
      <c r="D97" s="26"/>
    </row>
    <row r="98" spans="1:4" ht="18.75" x14ac:dyDescent="0.25">
      <c r="A98" s="24"/>
      <c r="B98" s="22"/>
      <c r="C98" s="23"/>
      <c r="D98" s="26"/>
    </row>
    <row r="99" spans="1:4" ht="18.75" x14ac:dyDescent="0.25">
      <c r="A99" s="24"/>
      <c r="B99" s="22"/>
      <c r="C99" s="23"/>
      <c r="D99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E0B0-ACF7-443D-861C-F5014E4A339F}">
  <sheetPr codeName="Sheet3"/>
  <dimension ref="A1:U46"/>
  <sheetViews>
    <sheetView zoomScale="70" zoomScaleNormal="70" workbookViewId="0">
      <pane ySplit="1" topLeftCell="A5" activePane="bottomLeft" state="frozen"/>
      <selection pane="bottomLeft" activeCell="S58" sqref="S58"/>
    </sheetView>
  </sheetViews>
  <sheetFormatPr defaultRowHeight="15" x14ac:dyDescent="0.25"/>
  <cols>
    <col min="1" max="1" width="16.42578125" bestFit="1" customWidth="1"/>
    <col min="2" max="2" width="35.85546875" bestFit="1" customWidth="1"/>
    <col min="3" max="3" width="26.5703125" bestFit="1" customWidth="1"/>
    <col min="4" max="4" width="34.85546875" bestFit="1" customWidth="1"/>
    <col min="5" max="5" width="30.140625" bestFit="1" customWidth="1"/>
    <col min="6" max="6" width="28" bestFit="1" customWidth="1"/>
    <col min="7" max="7" width="32" bestFit="1" customWidth="1"/>
    <col min="8" max="8" width="26.5703125" bestFit="1" customWidth="1"/>
    <col min="9" max="9" width="35.85546875" bestFit="1" customWidth="1"/>
    <col min="10" max="10" width="34.85546875" bestFit="1" customWidth="1"/>
    <col min="11" max="11" width="27" bestFit="1" customWidth="1"/>
    <col min="12" max="12" width="30.140625" bestFit="1" customWidth="1"/>
    <col min="13" max="13" width="28" bestFit="1" customWidth="1"/>
    <col min="14" max="14" width="29.42578125" bestFit="1" customWidth="1"/>
    <col min="15" max="15" width="30.140625" bestFit="1" customWidth="1"/>
    <col min="16" max="16" width="23.7109375" bestFit="1" customWidth="1"/>
    <col min="17" max="17" width="25.5703125" bestFit="1" customWidth="1"/>
    <col min="18" max="18" width="34.140625" bestFit="1" customWidth="1"/>
    <col min="19" max="19" width="45.140625" bestFit="1" customWidth="1"/>
    <col min="20" max="21" width="45.140625" customWidth="1"/>
  </cols>
  <sheetData>
    <row r="1" spans="1:21" x14ac:dyDescent="0.25">
      <c r="A1" s="9" t="s">
        <v>11</v>
      </c>
      <c r="B1" s="9" t="s">
        <v>8</v>
      </c>
      <c r="C1" s="9" t="s">
        <v>43</v>
      </c>
      <c r="D1" s="9" t="s">
        <v>41</v>
      </c>
      <c r="E1" s="9" t="s">
        <v>20</v>
      </c>
      <c r="F1" s="9" t="s">
        <v>17</v>
      </c>
      <c r="G1" s="9" t="s">
        <v>25</v>
      </c>
      <c r="H1" s="9" t="s">
        <v>15</v>
      </c>
      <c r="I1" s="9" t="s">
        <v>18</v>
      </c>
      <c r="J1" s="9" t="s">
        <v>36</v>
      </c>
      <c r="K1" s="9" t="s">
        <v>37</v>
      </c>
      <c r="L1" s="9" t="s">
        <v>19</v>
      </c>
      <c r="M1" s="9" t="s">
        <v>21</v>
      </c>
      <c r="N1" s="9" t="s">
        <v>22</v>
      </c>
      <c r="O1" s="9" t="s">
        <v>23</v>
      </c>
      <c r="P1" s="9" t="s">
        <v>39</v>
      </c>
      <c r="Q1" s="10" t="s">
        <v>35</v>
      </c>
      <c r="R1" s="9" t="s">
        <v>26</v>
      </c>
      <c r="S1" s="9" t="s">
        <v>38</v>
      </c>
      <c r="T1" s="9" t="s">
        <v>46</v>
      </c>
      <c r="U1" s="17" t="s">
        <v>47</v>
      </c>
    </row>
    <row r="2" spans="1:21" x14ac:dyDescent="0.25">
      <c r="A2" s="4">
        <v>45979</v>
      </c>
      <c r="B2" s="12">
        <v>100000</v>
      </c>
      <c r="C2" s="12"/>
      <c r="D2" s="12"/>
      <c r="E2" s="12"/>
      <c r="F2" s="12"/>
      <c r="G2" s="12">
        <v>100000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T2" s="12"/>
      <c r="U2" s="12"/>
    </row>
    <row r="3" spans="1:21" x14ac:dyDescent="0.25">
      <c r="A3" s="4">
        <v>45980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4">
        <v>45981</v>
      </c>
      <c r="B4" s="12"/>
      <c r="C4" s="12"/>
      <c r="D4" s="12"/>
      <c r="E4" s="12"/>
      <c r="F4" s="12"/>
      <c r="G4" s="12"/>
      <c r="H4" s="12"/>
      <c r="I4" s="12">
        <v>20000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4">
        <v>45982</v>
      </c>
      <c r="B5" s="12"/>
      <c r="C5" s="12"/>
      <c r="D5" s="12"/>
      <c r="E5" s="12">
        <v>100000</v>
      </c>
      <c r="F5" s="12">
        <v>230000</v>
      </c>
      <c r="G5" s="12"/>
      <c r="H5" s="12">
        <v>75000</v>
      </c>
      <c r="I5" s="12"/>
      <c r="J5" s="12"/>
      <c r="K5" s="12"/>
      <c r="L5" s="12">
        <v>300000</v>
      </c>
      <c r="M5" s="12">
        <v>50000</v>
      </c>
      <c r="N5" s="12">
        <v>5000</v>
      </c>
      <c r="O5" s="12"/>
      <c r="P5" s="12"/>
      <c r="Q5" s="12"/>
      <c r="R5" s="12"/>
      <c r="S5" s="12"/>
      <c r="T5" s="12"/>
      <c r="U5" s="12"/>
    </row>
    <row r="6" spans="1:21" x14ac:dyDescent="0.25">
      <c r="A6" s="4">
        <v>45983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250000</v>
      </c>
      <c r="P6" s="12"/>
      <c r="Q6" s="12"/>
      <c r="R6" s="12"/>
      <c r="S6" s="12"/>
      <c r="T6" s="12"/>
      <c r="U6" s="12"/>
    </row>
    <row r="7" spans="1:21" x14ac:dyDescent="0.25">
      <c r="A7" s="4">
        <v>45984</v>
      </c>
      <c r="B7" s="12"/>
      <c r="C7" s="12"/>
      <c r="D7" s="12"/>
      <c r="E7" s="12"/>
      <c r="F7" s="12"/>
      <c r="G7" s="12"/>
      <c r="H7" s="12"/>
      <c r="I7" s="12">
        <v>350000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4">
        <v>45985</v>
      </c>
      <c r="B8" s="12">
        <v>20000</v>
      </c>
      <c r="C8" s="12"/>
      <c r="D8" s="12"/>
      <c r="E8" s="12"/>
      <c r="F8" s="12">
        <v>130000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>
        <f>200000</f>
        <v>200000</v>
      </c>
      <c r="S8" s="12"/>
      <c r="T8" s="12"/>
      <c r="U8" s="12"/>
    </row>
    <row r="9" spans="1:21" x14ac:dyDescent="0.25">
      <c r="A9" s="4">
        <v>45986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4">
        <v>45987</v>
      </c>
      <c r="B10" s="12">
        <v>200000</v>
      </c>
      <c r="C10" s="12"/>
      <c r="D10" s="12"/>
      <c r="E10" s="12">
        <v>100000</v>
      </c>
      <c r="F10" s="12">
        <f>180000</f>
        <v>180000</v>
      </c>
      <c r="G10" s="12"/>
      <c r="H10" s="12">
        <v>50000</v>
      </c>
      <c r="I10" s="12"/>
      <c r="J10" s="12"/>
      <c r="K10" s="12"/>
      <c r="L10" s="12"/>
      <c r="M10" s="12">
        <v>20000</v>
      </c>
      <c r="N10" s="12"/>
      <c r="O10" s="12"/>
      <c r="P10" s="12"/>
      <c r="Q10" s="12"/>
      <c r="R10" s="12">
        <v>70000</v>
      </c>
      <c r="S10" s="12"/>
      <c r="T10" s="12"/>
      <c r="U10" s="12"/>
    </row>
    <row r="11" spans="1:21" x14ac:dyDescent="0.25">
      <c r="A11" s="4">
        <v>45988</v>
      </c>
      <c r="B11" s="12"/>
      <c r="C11" s="12"/>
      <c r="D11" s="12"/>
      <c r="E11" s="12">
        <v>20000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4">
        <v>45989</v>
      </c>
      <c r="B12" s="12"/>
      <c r="C12" s="12"/>
      <c r="D12" s="12"/>
      <c r="E12" s="12"/>
      <c r="F12" s="12">
        <v>60000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4">
        <v>45990</v>
      </c>
      <c r="B13" s="12"/>
      <c r="C13" s="12"/>
      <c r="D13" s="12"/>
      <c r="E13" s="12"/>
      <c r="F13" s="12"/>
      <c r="G13" s="12">
        <v>175000</v>
      </c>
      <c r="H13" s="12"/>
      <c r="I13" s="12"/>
      <c r="J13" s="12"/>
      <c r="K13" s="12"/>
      <c r="L13" s="12"/>
      <c r="M13" s="12"/>
      <c r="N13" s="12"/>
      <c r="O13" s="12"/>
      <c r="P13" s="12">
        <v>200000</v>
      </c>
      <c r="Q13" s="12"/>
      <c r="R13" s="12"/>
      <c r="S13" s="12"/>
      <c r="T13" s="12"/>
      <c r="U13" s="12"/>
    </row>
    <row r="14" spans="1:21" x14ac:dyDescent="0.25">
      <c r="A14" s="4">
        <v>45991</v>
      </c>
      <c r="B14" s="12"/>
      <c r="C14" s="12"/>
      <c r="D14" s="12"/>
      <c r="E14" s="12">
        <v>100000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270000</v>
      </c>
      <c r="S14" s="12"/>
      <c r="T14" s="12"/>
      <c r="U14" s="12"/>
    </row>
    <row r="15" spans="1:21" x14ac:dyDescent="0.25">
      <c r="A15" s="4">
        <v>45992</v>
      </c>
      <c r="B15" s="12"/>
      <c r="C15" s="12"/>
      <c r="D15" s="12"/>
      <c r="E15" s="12"/>
      <c r="F15" s="12">
        <v>5000</v>
      </c>
      <c r="G15" s="12"/>
      <c r="H15" s="12"/>
      <c r="I15" s="12"/>
      <c r="J15" s="12"/>
      <c r="K15" s="12"/>
      <c r="L15" s="12"/>
      <c r="M15" s="12"/>
      <c r="N15" s="12">
        <v>5000</v>
      </c>
      <c r="O15" s="12"/>
      <c r="P15" s="12"/>
      <c r="Q15" s="12"/>
      <c r="R15" s="12">
        <v>5000</v>
      </c>
      <c r="S15" s="12"/>
      <c r="T15" s="12"/>
      <c r="U15" s="12"/>
    </row>
    <row r="16" spans="1:21" x14ac:dyDescent="0.25">
      <c r="A16" s="4">
        <v>45993</v>
      </c>
      <c r="B16" s="14"/>
      <c r="C16" s="14"/>
      <c r="D16" s="14"/>
      <c r="E16" s="14">
        <f>20000</f>
        <v>20000</v>
      </c>
      <c r="F16" s="14">
        <v>40000</v>
      </c>
      <c r="G16" s="14"/>
      <c r="H16" s="14">
        <v>80000</v>
      </c>
      <c r="I16" s="14"/>
      <c r="J16" s="14">
        <v>5000</v>
      </c>
      <c r="K16" s="14"/>
      <c r="L16" s="14"/>
      <c r="M16" s="14">
        <v>5000</v>
      </c>
      <c r="N16" s="14"/>
      <c r="O16" s="14"/>
      <c r="P16" s="14"/>
      <c r="Q16" s="14">
        <v>5000</v>
      </c>
      <c r="R16" s="14"/>
      <c r="S16" s="14"/>
      <c r="T16" s="12"/>
      <c r="U16" s="12"/>
    </row>
    <row r="17" spans="1:21" x14ac:dyDescent="0.25">
      <c r="A17" s="4">
        <v>45994</v>
      </c>
      <c r="B17" s="12"/>
      <c r="C17" s="12"/>
      <c r="D17" s="12"/>
      <c r="E17" s="12">
        <v>100000</v>
      </c>
      <c r="F17" s="12"/>
      <c r="G17" s="12"/>
      <c r="H17" s="12">
        <v>50000</v>
      </c>
      <c r="I17" s="12"/>
      <c r="J17" s="12"/>
      <c r="K17" s="12"/>
      <c r="L17" s="12"/>
      <c r="M17" s="12">
        <v>40000</v>
      </c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4">
        <v>45995</v>
      </c>
      <c r="B18" s="12"/>
      <c r="C18" s="12"/>
      <c r="D18" s="12"/>
      <c r="E18" s="12">
        <v>100000</v>
      </c>
      <c r="F18" s="12">
        <v>50000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4">
        <v>45996</v>
      </c>
      <c r="B19" s="12"/>
      <c r="C19" s="12"/>
      <c r="D19" s="12"/>
      <c r="E19" s="12"/>
      <c r="F19" s="12"/>
      <c r="G19" s="12"/>
      <c r="H19" s="12"/>
      <c r="I19" s="12"/>
      <c r="J19" s="12"/>
      <c r="K19" s="12">
        <v>5000</v>
      </c>
      <c r="L19" s="12"/>
      <c r="M19" s="12"/>
      <c r="N19" s="12"/>
      <c r="O19" s="12"/>
      <c r="P19" s="12"/>
      <c r="Q19" s="12"/>
      <c r="R19" s="12">
        <f>200000+300000</f>
        <v>500000</v>
      </c>
      <c r="S19" s="12">
        <v>540000</v>
      </c>
      <c r="T19" s="12"/>
      <c r="U19" s="12"/>
    </row>
    <row r="20" spans="1:21" x14ac:dyDescent="0.25">
      <c r="A20" s="4">
        <v>45997</v>
      </c>
      <c r="B20" s="12">
        <v>100000</v>
      </c>
      <c r="C20" s="12"/>
      <c r="D20" s="12">
        <v>200000</v>
      </c>
      <c r="E20" s="12"/>
      <c r="F20" s="12"/>
      <c r="G20" s="12">
        <f>45000+100000</f>
        <v>145000</v>
      </c>
      <c r="H20" s="12"/>
      <c r="I20" s="12">
        <v>10000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4">
        <v>45998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>
        <v>100000</v>
      </c>
      <c r="T21" s="12"/>
      <c r="U21" s="12"/>
    </row>
    <row r="22" spans="1:21" x14ac:dyDescent="0.25">
      <c r="A22" s="4">
        <v>45999</v>
      </c>
      <c r="B22" s="12">
        <v>120000</v>
      </c>
      <c r="C22" s="12"/>
      <c r="D22" s="12">
        <v>200000</v>
      </c>
      <c r="E22" s="12">
        <v>100000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4">
        <v>46000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>
        <v>200000</v>
      </c>
      <c r="M23" s="12"/>
      <c r="N23" s="12"/>
      <c r="O23" s="12"/>
      <c r="P23" s="12"/>
      <c r="Q23" s="12"/>
      <c r="R23" s="12">
        <v>105000</v>
      </c>
      <c r="S23" s="12"/>
      <c r="T23" s="12"/>
      <c r="U23" s="12"/>
    </row>
    <row r="24" spans="1:21" x14ac:dyDescent="0.25">
      <c r="A24" s="4">
        <v>46001</v>
      </c>
      <c r="B24" s="12">
        <v>100000</v>
      </c>
      <c r="C24" s="12">
        <v>50000</v>
      </c>
      <c r="D24" s="12"/>
      <c r="E24" s="12">
        <v>150000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>
        <v>20000</v>
      </c>
      <c r="S24" s="12"/>
      <c r="T24" s="12"/>
      <c r="U24" s="12"/>
    </row>
    <row r="25" spans="1:21" x14ac:dyDescent="0.25">
      <c r="A25" s="4">
        <v>46002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>
        <v>100000</v>
      </c>
      <c r="M25" s="12"/>
      <c r="N25" s="12"/>
      <c r="O25" s="12"/>
      <c r="P25" s="12"/>
      <c r="Q25" s="12"/>
      <c r="R25" s="12">
        <f>100000+20000</f>
        <v>120000</v>
      </c>
      <c r="S25" s="12"/>
      <c r="T25" s="12"/>
      <c r="U25" s="12"/>
    </row>
    <row r="26" spans="1:21" x14ac:dyDescent="0.25">
      <c r="A26" s="4">
        <v>46003</v>
      </c>
      <c r="B26" s="12">
        <v>20000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v>50000</v>
      </c>
      <c r="O26" s="12"/>
      <c r="P26" s="12">
        <v>150000</v>
      </c>
      <c r="Q26" s="12"/>
      <c r="R26" s="12">
        <f>5000+20000+20000+50000</f>
        <v>95000</v>
      </c>
      <c r="S26" s="12">
        <v>340000</v>
      </c>
      <c r="T26" s="12"/>
      <c r="U26" s="12"/>
    </row>
    <row r="27" spans="1:21" x14ac:dyDescent="0.25">
      <c r="A27" s="4">
        <v>46004</v>
      </c>
      <c r="B27" s="12">
        <v>20000</v>
      </c>
      <c r="C27" s="12"/>
      <c r="D27" s="12">
        <v>100000</v>
      </c>
      <c r="E27" s="12"/>
      <c r="F27" s="12">
        <v>50000</v>
      </c>
      <c r="G27" s="12">
        <v>50000</v>
      </c>
      <c r="H27" s="12"/>
      <c r="I27" s="12">
        <v>20000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>
        <v>20000</v>
      </c>
      <c r="U27" s="12"/>
    </row>
    <row r="28" spans="1:21" x14ac:dyDescent="0.25">
      <c r="A28" s="4">
        <v>46005</v>
      </c>
      <c r="B28" s="12">
        <v>20000</v>
      </c>
      <c r="C28" s="12"/>
      <c r="D28" s="12"/>
      <c r="E28" s="12"/>
      <c r="F28" s="12"/>
      <c r="G28" s="12"/>
      <c r="H28" s="12"/>
      <c r="I28" s="12"/>
      <c r="J28" s="12">
        <v>5000</v>
      </c>
      <c r="K28" s="12"/>
      <c r="L28" s="12"/>
      <c r="M28" s="12">
        <v>50000</v>
      </c>
      <c r="N28" s="12"/>
      <c r="O28" s="12"/>
      <c r="P28" s="12"/>
      <c r="Q28" s="12"/>
      <c r="R28" s="12"/>
      <c r="S28" s="12"/>
      <c r="T28" s="12"/>
      <c r="U28" s="12">
        <v>20000</v>
      </c>
    </row>
    <row r="29" spans="1:21" x14ac:dyDescent="0.25">
      <c r="A29" s="4">
        <v>46006</v>
      </c>
      <c r="B29" s="12">
        <v>20000</v>
      </c>
      <c r="C29" s="12"/>
      <c r="D29" s="12"/>
      <c r="E29" s="12"/>
      <c r="F29" s="12"/>
      <c r="G29" s="12"/>
      <c r="H29" s="12"/>
      <c r="I29" s="12"/>
      <c r="J29" s="12"/>
      <c r="K29" s="12">
        <v>10000</v>
      </c>
      <c r="L29" s="12"/>
      <c r="M29" s="12"/>
      <c r="N29" s="12"/>
      <c r="O29" s="12"/>
      <c r="P29" s="12">
        <v>60000</v>
      </c>
      <c r="Q29" s="12"/>
      <c r="R29" s="12">
        <v>70000</v>
      </c>
      <c r="S29" s="12"/>
      <c r="T29" s="12"/>
      <c r="U29" s="12"/>
    </row>
    <row r="30" spans="1:21" x14ac:dyDescent="0.25">
      <c r="A30" s="4">
        <v>46007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>
        <v>20000</v>
      </c>
      <c r="S30" s="12"/>
      <c r="T30" s="12"/>
      <c r="U30" s="12"/>
    </row>
    <row r="31" spans="1:21" x14ac:dyDescent="0.25">
      <c r="A31" s="4">
        <v>46008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4">
        <v>46009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4">
        <v>46010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4">
        <v>46011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4">
        <v>46012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4">
        <v>46013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4">
        <v>46014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4">
        <v>46015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4">
        <v>46016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4">
        <v>46017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4">
        <v>46018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x14ac:dyDescent="0.25">
      <c r="A43" s="2" t="s">
        <v>12</v>
      </c>
      <c r="B43" s="12">
        <f t="shared" ref="B43:U43" si="0">SUM(B2:B42)</f>
        <v>720000</v>
      </c>
      <c r="C43" s="12">
        <f t="shared" si="0"/>
        <v>50000</v>
      </c>
      <c r="D43" s="12">
        <f t="shared" si="0"/>
        <v>500000</v>
      </c>
      <c r="E43" s="12">
        <f t="shared" si="0"/>
        <v>790000</v>
      </c>
      <c r="F43" s="12">
        <f t="shared" si="0"/>
        <v>745000</v>
      </c>
      <c r="G43" s="12">
        <f t="shared" si="0"/>
        <v>470000</v>
      </c>
      <c r="H43" s="12">
        <f t="shared" si="0"/>
        <v>255000</v>
      </c>
      <c r="I43" s="12">
        <f t="shared" si="0"/>
        <v>400000</v>
      </c>
      <c r="J43" s="12">
        <f t="shared" si="0"/>
        <v>10000</v>
      </c>
      <c r="K43" s="12">
        <f t="shared" si="0"/>
        <v>15000</v>
      </c>
      <c r="L43" s="12">
        <f t="shared" si="0"/>
        <v>600000</v>
      </c>
      <c r="M43" s="12">
        <f t="shared" si="0"/>
        <v>165000</v>
      </c>
      <c r="N43" s="12">
        <f t="shared" si="0"/>
        <v>60000</v>
      </c>
      <c r="O43" s="12">
        <f t="shared" si="0"/>
        <v>250000</v>
      </c>
      <c r="P43" s="12">
        <f t="shared" si="0"/>
        <v>410000</v>
      </c>
      <c r="Q43" s="12">
        <f t="shared" si="0"/>
        <v>5000</v>
      </c>
      <c r="R43" s="12">
        <f t="shared" si="0"/>
        <v>1475000</v>
      </c>
      <c r="S43" s="12">
        <f t="shared" si="0"/>
        <v>980000</v>
      </c>
      <c r="T43" s="12">
        <f t="shared" si="0"/>
        <v>20000</v>
      </c>
      <c r="U43" s="12">
        <f t="shared" si="0"/>
        <v>20000</v>
      </c>
    </row>
    <row r="44" spans="1:2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6" spans="1:21" x14ac:dyDescent="0.25">
      <c r="F46" s="5"/>
      <c r="G46" s="5"/>
    </row>
  </sheetData>
  <autoFilter ref="A1:U41" xr:uid="{2244E0B0-ACF7-443D-861C-F5014E4A339F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8C41-0585-4655-BAAC-78773108D623}">
  <dimension ref="A1:F78"/>
  <sheetViews>
    <sheetView workbookViewId="0">
      <selection activeCell="E3" sqref="E3:L3"/>
    </sheetView>
  </sheetViews>
  <sheetFormatPr defaultRowHeight="15" x14ac:dyDescent="0.25"/>
  <cols>
    <col min="1" max="1" width="14.42578125" bestFit="1" customWidth="1"/>
    <col min="2" max="2" width="41.42578125" bestFit="1" customWidth="1"/>
    <col min="3" max="4" width="13.140625" bestFit="1" customWidth="1"/>
  </cols>
  <sheetData>
    <row r="1" spans="1:6" ht="18.75" x14ac:dyDescent="0.25">
      <c r="A1" s="18" t="s">
        <v>48</v>
      </c>
      <c r="B1" s="18" t="s">
        <v>1</v>
      </c>
      <c r="C1" s="18" t="s">
        <v>49</v>
      </c>
      <c r="D1" s="18" t="s">
        <v>2</v>
      </c>
    </row>
    <row r="2" spans="1:6" ht="18.75" x14ac:dyDescent="0.25">
      <c r="A2" s="19" t="s">
        <v>50</v>
      </c>
      <c r="B2" s="19" t="s">
        <v>8</v>
      </c>
      <c r="C2" s="25" t="s">
        <v>51</v>
      </c>
      <c r="D2" s="19"/>
    </row>
    <row r="3" spans="1:6" ht="187.5" x14ac:dyDescent="0.25">
      <c r="A3" s="19" t="s">
        <v>50</v>
      </c>
      <c r="B3" s="19" t="s">
        <v>25</v>
      </c>
      <c r="C3" s="25" t="s">
        <v>51</v>
      </c>
      <c r="D3" s="19"/>
      <c r="F3" s="43" t="s">
        <v>91</v>
      </c>
    </row>
    <row r="4" spans="1:6" ht="18.75" x14ac:dyDescent="0.25">
      <c r="A4" s="19" t="s">
        <v>52</v>
      </c>
      <c r="B4" s="19" t="s">
        <v>18</v>
      </c>
      <c r="C4" s="25" t="s">
        <v>53</v>
      </c>
      <c r="D4" s="19"/>
    </row>
    <row r="5" spans="1:6" ht="18.75" x14ac:dyDescent="0.25">
      <c r="A5" s="19" t="s">
        <v>54</v>
      </c>
      <c r="B5" s="19" t="s">
        <v>20</v>
      </c>
      <c r="C5" s="25" t="s">
        <v>51</v>
      </c>
      <c r="D5" s="19"/>
    </row>
    <row r="6" spans="1:6" ht="18.75" x14ac:dyDescent="0.25">
      <c r="A6" s="19" t="s">
        <v>54</v>
      </c>
      <c r="B6" s="19" t="s">
        <v>17</v>
      </c>
      <c r="C6" s="25" t="s">
        <v>55</v>
      </c>
      <c r="D6" s="19"/>
    </row>
    <row r="7" spans="1:6" ht="18.75" x14ac:dyDescent="0.25">
      <c r="A7" s="19" t="s">
        <v>54</v>
      </c>
      <c r="B7" s="19" t="s">
        <v>15</v>
      </c>
      <c r="C7" s="25" t="s">
        <v>56</v>
      </c>
      <c r="D7" s="19"/>
    </row>
    <row r="8" spans="1:6" ht="18.75" x14ac:dyDescent="0.25">
      <c r="A8" s="19" t="s">
        <v>54</v>
      </c>
      <c r="B8" s="19" t="s">
        <v>19</v>
      </c>
      <c r="C8" s="25" t="s">
        <v>57</v>
      </c>
      <c r="D8" s="19"/>
    </row>
    <row r="9" spans="1:6" ht="18.75" x14ac:dyDescent="0.25">
      <c r="A9" s="19" t="s">
        <v>54</v>
      </c>
      <c r="B9" s="19" t="s">
        <v>21</v>
      </c>
      <c r="C9" s="25" t="s">
        <v>58</v>
      </c>
      <c r="D9" s="19"/>
    </row>
    <row r="10" spans="1:6" ht="18.75" x14ac:dyDescent="0.25">
      <c r="A10" s="19" t="s">
        <v>54</v>
      </c>
      <c r="B10" s="19" t="s">
        <v>22</v>
      </c>
      <c r="C10" s="25" t="s">
        <v>59</v>
      </c>
      <c r="D10" s="19"/>
    </row>
    <row r="11" spans="1:6" ht="18.75" x14ac:dyDescent="0.25">
      <c r="A11" s="19" t="s">
        <v>60</v>
      </c>
      <c r="B11" s="19" t="s">
        <v>23</v>
      </c>
      <c r="C11" s="25" t="s">
        <v>61</v>
      </c>
      <c r="D11" s="19"/>
    </row>
    <row r="12" spans="1:6" ht="18.75" x14ac:dyDescent="0.25">
      <c r="A12" s="19" t="s">
        <v>62</v>
      </c>
      <c r="B12" s="19" t="s">
        <v>18</v>
      </c>
      <c r="C12" s="25" t="s">
        <v>63</v>
      </c>
      <c r="D12" s="19"/>
    </row>
    <row r="13" spans="1:6" ht="18.75" x14ac:dyDescent="0.25">
      <c r="A13" s="19" t="s">
        <v>64</v>
      </c>
      <c r="B13" s="19" t="s">
        <v>8</v>
      </c>
      <c r="C13" s="25" t="s">
        <v>53</v>
      </c>
      <c r="D13" s="19"/>
    </row>
    <row r="14" spans="1:6" ht="18.75" x14ac:dyDescent="0.25">
      <c r="A14" s="19" t="s">
        <v>64</v>
      </c>
      <c r="B14" s="19" t="s">
        <v>17</v>
      </c>
      <c r="C14" s="25" t="s">
        <v>65</v>
      </c>
      <c r="D14" s="19"/>
    </row>
    <row r="15" spans="1:6" ht="18.75" x14ac:dyDescent="0.25">
      <c r="A15" s="19" t="s">
        <v>64</v>
      </c>
      <c r="B15" s="19" t="s">
        <v>26</v>
      </c>
      <c r="C15" s="25" t="s">
        <v>66</v>
      </c>
      <c r="D15" s="19"/>
    </row>
    <row r="16" spans="1:6" ht="18.75" x14ac:dyDescent="0.25">
      <c r="A16" s="19" t="s">
        <v>67</v>
      </c>
      <c r="B16" s="19" t="s">
        <v>8</v>
      </c>
      <c r="C16" s="25" t="s">
        <v>66</v>
      </c>
      <c r="D16" s="19"/>
    </row>
    <row r="17" spans="1:4" ht="18.75" x14ac:dyDescent="0.25">
      <c r="A17" s="19" t="s">
        <v>67</v>
      </c>
      <c r="B17" s="19" t="s">
        <v>20</v>
      </c>
      <c r="C17" s="25" t="s">
        <v>51</v>
      </c>
      <c r="D17" s="19"/>
    </row>
    <row r="18" spans="1:4" ht="18.75" x14ac:dyDescent="0.25">
      <c r="A18" s="19" t="s">
        <v>67</v>
      </c>
      <c r="B18" s="19" t="s">
        <v>17</v>
      </c>
      <c r="C18" s="25" t="s">
        <v>68</v>
      </c>
      <c r="D18" s="19"/>
    </row>
    <row r="19" spans="1:4" ht="18.75" x14ac:dyDescent="0.25">
      <c r="A19" s="19" t="s">
        <v>67</v>
      </c>
      <c r="B19" s="19" t="s">
        <v>15</v>
      </c>
      <c r="C19" s="25" t="s">
        <v>58</v>
      </c>
      <c r="D19" s="19"/>
    </row>
    <row r="20" spans="1:4" ht="18.75" x14ac:dyDescent="0.25">
      <c r="A20" s="19" t="s">
        <v>67</v>
      </c>
      <c r="B20" s="19" t="s">
        <v>21</v>
      </c>
      <c r="C20" s="25" t="s">
        <v>53</v>
      </c>
      <c r="D20" s="19"/>
    </row>
    <row r="21" spans="1:4" ht="18.75" x14ac:dyDescent="0.25">
      <c r="A21" s="19" t="s">
        <v>67</v>
      </c>
      <c r="B21" s="19" t="s">
        <v>26</v>
      </c>
      <c r="C21" s="25" t="s">
        <v>69</v>
      </c>
      <c r="D21" s="19"/>
    </row>
    <row r="22" spans="1:4" ht="18.75" x14ac:dyDescent="0.25">
      <c r="A22" s="19" t="s">
        <v>70</v>
      </c>
      <c r="B22" s="19" t="s">
        <v>20</v>
      </c>
      <c r="C22" s="25" t="s">
        <v>53</v>
      </c>
      <c r="D22" s="19"/>
    </row>
    <row r="23" spans="1:4" ht="18.75" x14ac:dyDescent="0.25">
      <c r="A23" s="19" t="s">
        <v>71</v>
      </c>
      <c r="B23" s="19" t="s">
        <v>17</v>
      </c>
      <c r="C23" s="25" t="s">
        <v>72</v>
      </c>
      <c r="D23" s="19"/>
    </row>
    <row r="24" spans="1:4" ht="18.75" x14ac:dyDescent="0.25">
      <c r="A24" s="19" t="s">
        <v>73</v>
      </c>
      <c r="B24" s="19" t="s">
        <v>25</v>
      </c>
      <c r="C24" s="25" t="s">
        <v>74</v>
      </c>
      <c r="D24" s="19"/>
    </row>
    <row r="25" spans="1:4" ht="18.75" x14ac:dyDescent="0.25">
      <c r="A25" s="19" t="s">
        <v>73</v>
      </c>
      <c r="B25" s="19" t="s">
        <v>39</v>
      </c>
      <c r="C25" s="25" t="s">
        <v>66</v>
      </c>
      <c r="D25" s="19"/>
    </row>
    <row r="26" spans="1:4" ht="18.75" x14ac:dyDescent="0.25">
      <c r="A26" s="19" t="s">
        <v>75</v>
      </c>
      <c r="B26" s="19" t="s">
        <v>20</v>
      </c>
      <c r="C26" s="25" t="s">
        <v>51</v>
      </c>
      <c r="D26" s="19"/>
    </row>
    <row r="27" spans="1:4" ht="18.75" x14ac:dyDescent="0.25">
      <c r="A27" s="19" t="s">
        <v>75</v>
      </c>
      <c r="B27" s="19" t="s">
        <v>26</v>
      </c>
      <c r="C27" s="25" t="s">
        <v>76</v>
      </c>
      <c r="D27" s="19"/>
    </row>
    <row r="28" spans="1:4" ht="18.75" x14ac:dyDescent="0.25">
      <c r="A28" s="20">
        <v>45669</v>
      </c>
      <c r="B28" s="19" t="s">
        <v>17</v>
      </c>
      <c r="C28" s="25" t="s">
        <v>59</v>
      </c>
      <c r="D28" s="19"/>
    </row>
    <row r="29" spans="1:4" ht="18.75" x14ac:dyDescent="0.25">
      <c r="A29" s="20">
        <v>45669</v>
      </c>
      <c r="B29" s="19" t="s">
        <v>26</v>
      </c>
      <c r="C29" s="25" t="s">
        <v>59</v>
      </c>
      <c r="D29" s="19"/>
    </row>
    <row r="30" spans="1:4" ht="18.75" x14ac:dyDescent="0.25">
      <c r="A30" s="20">
        <v>45669</v>
      </c>
      <c r="B30" s="19" t="s">
        <v>22</v>
      </c>
      <c r="C30" s="25" t="s">
        <v>59</v>
      </c>
      <c r="D30" s="19"/>
    </row>
    <row r="31" spans="1:4" ht="18.75" x14ac:dyDescent="0.25">
      <c r="A31" s="20">
        <v>45700</v>
      </c>
      <c r="B31" s="19" t="s">
        <v>20</v>
      </c>
      <c r="C31" s="25" t="s">
        <v>53</v>
      </c>
      <c r="D31" s="19"/>
    </row>
    <row r="32" spans="1:4" ht="18.75" x14ac:dyDescent="0.25">
      <c r="A32" s="20">
        <v>45700</v>
      </c>
      <c r="B32" s="19" t="s">
        <v>17</v>
      </c>
      <c r="C32" s="25" t="s">
        <v>77</v>
      </c>
      <c r="D32" s="19"/>
    </row>
    <row r="33" spans="1:4" ht="18.75" x14ac:dyDescent="0.25">
      <c r="A33" s="20">
        <v>45700</v>
      </c>
      <c r="B33" s="19" t="s">
        <v>15</v>
      </c>
      <c r="C33" s="25" t="s">
        <v>78</v>
      </c>
      <c r="D33" s="19"/>
    </row>
    <row r="34" spans="1:4" ht="18.75" x14ac:dyDescent="0.25">
      <c r="A34" s="20">
        <v>45700</v>
      </c>
      <c r="B34" s="19" t="s">
        <v>36</v>
      </c>
      <c r="C34" s="25" t="s">
        <v>59</v>
      </c>
      <c r="D34" s="19"/>
    </row>
    <row r="35" spans="1:4" ht="18.75" x14ac:dyDescent="0.25">
      <c r="A35" s="20">
        <v>45700</v>
      </c>
      <c r="B35" s="19" t="s">
        <v>21</v>
      </c>
      <c r="C35" s="25" t="s">
        <v>59</v>
      </c>
      <c r="D35" s="19"/>
    </row>
    <row r="36" spans="1:4" ht="18.75" x14ac:dyDescent="0.25">
      <c r="A36" s="20">
        <v>45700</v>
      </c>
      <c r="B36" s="19" t="s">
        <v>35</v>
      </c>
      <c r="C36" s="25" t="s">
        <v>59</v>
      </c>
      <c r="D36" s="19"/>
    </row>
    <row r="37" spans="1:4" ht="18.75" x14ac:dyDescent="0.25">
      <c r="A37" s="20">
        <v>45728</v>
      </c>
      <c r="B37" s="19" t="s">
        <v>20</v>
      </c>
      <c r="C37" s="25" t="s">
        <v>51</v>
      </c>
      <c r="D37" s="19"/>
    </row>
    <row r="38" spans="1:4" ht="18.75" x14ac:dyDescent="0.25">
      <c r="A38" s="20">
        <v>45728</v>
      </c>
      <c r="B38" s="19" t="s">
        <v>15</v>
      </c>
      <c r="C38" s="25" t="s">
        <v>58</v>
      </c>
      <c r="D38" s="19"/>
    </row>
    <row r="39" spans="1:4" ht="18.75" x14ac:dyDescent="0.25">
      <c r="A39" s="20">
        <v>45728</v>
      </c>
      <c r="B39" s="19" t="s">
        <v>21</v>
      </c>
      <c r="C39" s="25" t="s">
        <v>77</v>
      </c>
      <c r="D39" s="19"/>
    </row>
    <row r="40" spans="1:4" ht="18.75" x14ac:dyDescent="0.25">
      <c r="A40" s="20">
        <v>45759</v>
      </c>
      <c r="B40" s="19" t="s">
        <v>20</v>
      </c>
      <c r="C40" s="25" t="s">
        <v>51</v>
      </c>
      <c r="D40" s="19"/>
    </row>
    <row r="41" spans="1:4" ht="18.75" x14ac:dyDescent="0.25">
      <c r="A41" s="20">
        <v>45759</v>
      </c>
      <c r="B41" s="19" t="s">
        <v>17</v>
      </c>
      <c r="C41" s="25" t="s">
        <v>58</v>
      </c>
      <c r="D41" s="19"/>
    </row>
    <row r="42" spans="1:4" ht="18.75" x14ac:dyDescent="0.25">
      <c r="A42" s="20">
        <v>45789</v>
      </c>
      <c r="B42" s="19" t="s">
        <v>37</v>
      </c>
      <c r="C42" s="25" t="s">
        <v>59</v>
      </c>
      <c r="D42" s="19"/>
    </row>
    <row r="43" spans="1:4" ht="18.75" x14ac:dyDescent="0.25">
      <c r="A43" s="20">
        <v>45789</v>
      </c>
      <c r="B43" s="19" t="s">
        <v>26</v>
      </c>
      <c r="C43" s="25" t="s">
        <v>79</v>
      </c>
      <c r="D43" s="19"/>
    </row>
    <row r="44" spans="1:4" ht="18.75" x14ac:dyDescent="0.25">
      <c r="A44" s="20">
        <v>45789</v>
      </c>
      <c r="B44" s="19" t="s">
        <v>80</v>
      </c>
      <c r="C44" s="25" t="s">
        <v>81</v>
      </c>
      <c r="D44" s="19"/>
    </row>
    <row r="45" spans="1:4" ht="18.75" x14ac:dyDescent="0.25">
      <c r="A45" s="20">
        <v>45820</v>
      </c>
      <c r="B45" s="19" t="s">
        <v>8</v>
      </c>
      <c r="C45" s="25" t="s">
        <v>51</v>
      </c>
      <c r="D45" s="19"/>
    </row>
    <row r="46" spans="1:4" ht="18.75" x14ac:dyDescent="0.25">
      <c r="A46" s="20">
        <v>45820</v>
      </c>
      <c r="B46" s="19" t="s">
        <v>41</v>
      </c>
      <c r="C46" s="25" t="s">
        <v>66</v>
      </c>
      <c r="D46" s="19"/>
    </row>
    <row r="47" spans="1:4" ht="18.75" x14ac:dyDescent="0.25">
      <c r="A47" s="20">
        <v>45820</v>
      </c>
      <c r="B47" s="19" t="s">
        <v>25</v>
      </c>
      <c r="C47" s="25" t="s">
        <v>82</v>
      </c>
      <c r="D47" s="19"/>
    </row>
    <row r="48" spans="1:4" ht="18.75" x14ac:dyDescent="0.25">
      <c r="A48" s="20">
        <v>45820</v>
      </c>
      <c r="B48" s="19" t="s">
        <v>18</v>
      </c>
      <c r="C48" s="25" t="s">
        <v>83</v>
      </c>
      <c r="D48" s="19"/>
    </row>
    <row r="49" spans="1:4" ht="18.75" x14ac:dyDescent="0.25">
      <c r="A49" s="20">
        <v>45850</v>
      </c>
      <c r="B49" s="19" t="s">
        <v>80</v>
      </c>
      <c r="C49" s="25" t="s">
        <v>51</v>
      </c>
      <c r="D49" s="19"/>
    </row>
    <row r="50" spans="1:4" ht="18.75" x14ac:dyDescent="0.25">
      <c r="A50" s="20">
        <v>45881</v>
      </c>
      <c r="B50" s="19" t="s">
        <v>8</v>
      </c>
      <c r="C50" s="25" t="s">
        <v>84</v>
      </c>
      <c r="D50" s="19"/>
    </row>
    <row r="51" spans="1:4" ht="18.75" x14ac:dyDescent="0.25">
      <c r="A51" s="20">
        <v>45881</v>
      </c>
      <c r="B51" s="19" t="s">
        <v>41</v>
      </c>
      <c r="C51" s="25" t="s">
        <v>66</v>
      </c>
      <c r="D51" s="19"/>
    </row>
    <row r="52" spans="1:4" ht="18.75" x14ac:dyDescent="0.25">
      <c r="A52" s="20">
        <v>45881</v>
      </c>
      <c r="B52" s="19" t="s">
        <v>20</v>
      </c>
      <c r="C52" s="25" t="s">
        <v>51</v>
      </c>
      <c r="D52" s="19"/>
    </row>
    <row r="53" spans="1:4" ht="18.75" x14ac:dyDescent="0.25">
      <c r="A53" s="20">
        <v>45912</v>
      </c>
      <c r="B53" s="19" t="s">
        <v>19</v>
      </c>
      <c r="C53" s="25" t="s">
        <v>66</v>
      </c>
      <c r="D53" s="19"/>
    </row>
    <row r="54" spans="1:4" ht="18.75" x14ac:dyDescent="0.25">
      <c r="A54" s="20">
        <v>45912</v>
      </c>
      <c r="B54" s="19" t="s">
        <v>26</v>
      </c>
      <c r="C54" s="25" t="s">
        <v>85</v>
      </c>
      <c r="D54" s="19"/>
    </row>
    <row r="55" spans="1:4" ht="18.75" x14ac:dyDescent="0.25">
      <c r="A55" s="20">
        <v>45942</v>
      </c>
      <c r="B55" s="19" t="s">
        <v>8</v>
      </c>
      <c r="C55" s="25" t="s">
        <v>51</v>
      </c>
      <c r="D55" s="19"/>
    </row>
    <row r="56" spans="1:4" ht="18.75" x14ac:dyDescent="0.25">
      <c r="A56" s="20">
        <v>45942</v>
      </c>
      <c r="B56" s="19" t="s">
        <v>43</v>
      </c>
      <c r="C56" s="25" t="s">
        <v>58</v>
      </c>
      <c r="D56" s="19"/>
    </row>
    <row r="57" spans="1:4" ht="18.75" x14ac:dyDescent="0.25">
      <c r="A57" s="20">
        <v>45942</v>
      </c>
      <c r="B57" s="19" t="s">
        <v>20</v>
      </c>
      <c r="C57" s="25" t="s">
        <v>86</v>
      </c>
      <c r="D57" s="19"/>
    </row>
    <row r="58" spans="1:4" ht="18.75" x14ac:dyDescent="0.25">
      <c r="A58" s="20">
        <v>45942</v>
      </c>
      <c r="B58" s="19" t="s">
        <v>26</v>
      </c>
      <c r="C58" s="25" t="s">
        <v>53</v>
      </c>
      <c r="D58" s="19"/>
    </row>
    <row r="59" spans="1:4" ht="18.75" x14ac:dyDescent="0.25">
      <c r="A59" s="20">
        <v>45973</v>
      </c>
      <c r="B59" s="19" t="s">
        <v>19</v>
      </c>
      <c r="C59" s="25" t="s">
        <v>51</v>
      </c>
      <c r="D59" s="19"/>
    </row>
    <row r="60" spans="1:4" ht="18.75" x14ac:dyDescent="0.25">
      <c r="A60" s="20">
        <v>45973</v>
      </c>
      <c r="B60" s="19" t="s">
        <v>26</v>
      </c>
      <c r="C60" s="25" t="s">
        <v>84</v>
      </c>
      <c r="D60" s="19"/>
    </row>
    <row r="61" spans="1:4" ht="18.75" x14ac:dyDescent="0.25">
      <c r="A61" s="20">
        <v>46003</v>
      </c>
      <c r="B61" s="19" t="s">
        <v>8</v>
      </c>
      <c r="C61" s="25" t="s">
        <v>53</v>
      </c>
      <c r="D61" s="19"/>
    </row>
    <row r="62" spans="1:4" ht="18.75" x14ac:dyDescent="0.25">
      <c r="A62" s="20">
        <v>46003</v>
      </c>
      <c r="B62" s="19" t="s">
        <v>22</v>
      </c>
      <c r="C62" s="25" t="s">
        <v>58</v>
      </c>
      <c r="D62" s="19"/>
    </row>
    <row r="63" spans="1:4" ht="18.75" x14ac:dyDescent="0.25">
      <c r="A63" s="20">
        <v>46003</v>
      </c>
      <c r="B63" s="19" t="s">
        <v>26</v>
      </c>
      <c r="C63" s="25" t="s">
        <v>87</v>
      </c>
      <c r="D63" s="19"/>
    </row>
    <row r="64" spans="1:4" ht="18.75" x14ac:dyDescent="0.25">
      <c r="A64" s="20">
        <v>46003</v>
      </c>
      <c r="B64" s="19" t="s">
        <v>39</v>
      </c>
      <c r="C64" s="25" t="s">
        <v>86</v>
      </c>
      <c r="D64" s="19"/>
    </row>
    <row r="65" spans="1:4" ht="18.75" x14ac:dyDescent="0.25">
      <c r="A65" s="20">
        <v>46003</v>
      </c>
      <c r="B65" s="19" t="s">
        <v>80</v>
      </c>
      <c r="C65" s="25" t="s">
        <v>88</v>
      </c>
      <c r="D65" s="19"/>
    </row>
    <row r="66" spans="1:4" ht="18.75" x14ac:dyDescent="0.25">
      <c r="A66" s="19" t="s">
        <v>89</v>
      </c>
      <c r="B66" s="19" t="s">
        <v>8</v>
      </c>
      <c r="C66" s="25" t="s">
        <v>53</v>
      </c>
      <c r="D66" s="19"/>
    </row>
    <row r="67" spans="1:4" ht="18.75" x14ac:dyDescent="0.25">
      <c r="A67" s="19" t="s">
        <v>89</v>
      </c>
      <c r="B67" s="19" t="s">
        <v>41</v>
      </c>
      <c r="C67" s="25" t="s">
        <v>51</v>
      </c>
      <c r="D67" s="19"/>
    </row>
    <row r="68" spans="1:4" ht="18.75" x14ac:dyDescent="0.25">
      <c r="A68" s="19" t="s">
        <v>89</v>
      </c>
      <c r="B68" s="19" t="s">
        <v>17</v>
      </c>
      <c r="C68" s="25" t="s">
        <v>58</v>
      </c>
      <c r="D68" s="19"/>
    </row>
    <row r="69" spans="1:4" ht="18.75" x14ac:dyDescent="0.25">
      <c r="A69" s="19" t="s">
        <v>89</v>
      </c>
      <c r="B69" s="19" t="s">
        <v>18</v>
      </c>
      <c r="C69" s="25" t="s">
        <v>53</v>
      </c>
      <c r="D69" s="19"/>
    </row>
    <row r="70" spans="1:4" ht="18.75" x14ac:dyDescent="0.25">
      <c r="A70" s="19" t="s">
        <v>89</v>
      </c>
      <c r="B70" s="19" t="s">
        <v>46</v>
      </c>
      <c r="C70" s="25" t="s">
        <v>53</v>
      </c>
      <c r="D70" s="19"/>
    </row>
    <row r="71" spans="1:4" ht="18.75" x14ac:dyDescent="0.25">
      <c r="A71" s="19" t="s">
        <v>90</v>
      </c>
      <c r="B71" s="19" t="s">
        <v>47</v>
      </c>
      <c r="C71" s="25" t="s">
        <v>53</v>
      </c>
      <c r="D71" s="19"/>
    </row>
    <row r="72" spans="1:4" ht="18.75" x14ac:dyDescent="0.25">
      <c r="A72" s="19"/>
      <c r="B72" s="19"/>
      <c r="C72" s="25"/>
      <c r="D72" s="19"/>
    </row>
    <row r="73" spans="1:4" ht="18.75" x14ac:dyDescent="0.25">
      <c r="A73" s="19"/>
      <c r="B73" s="19"/>
      <c r="C73" s="25"/>
      <c r="D73" s="19"/>
    </row>
    <row r="74" spans="1:4" ht="18.75" x14ac:dyDescent="0.25">
      <c r="A74" s="19"/>
      <c r="B74" s="19"/>
      <c r="C74" s="25"/>
      <c r="D74" s="19"/>
    </row>
    <row r="75" spans="1:4" ht="18.75" x14ac:dyDescent="0.25">
      <c r="A75" s="19"/>
      <c r="B75" s="19"/>
      <c r="C75" s="25"/>
      <c r="D75" s="19"/>
    </row>
    <row r="76" spans="1:4" ht="18.75" x14ac:dyDescent="0.25">
      <c r="A76" s="19"/>
      <c r="B76" s="19"/>
      <c r="C76" s="25"/>
      <c r="D76" s="19"/>
    </row>
    <row r="77" spans="1:4" ht="18.75" x14ac:dyDescent="0.25">
      <c r="A77" s="19"/>
      <c r="B77" s="19"/>
      <c r="C77" s="25"/>
      <c r="D77" s="19"/>
    </row>
    <row r="78" spans="1:4" ht="18.75" x14ac:dyDescent="0.25">
      <c r="A78" s="19"/>
      <c r="B78" s="19"/>
      <c r="C78" s="25"/>
      <c r="D7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NỢ</vt:lpstr>
      <vt:lpstr>THONG KE NAP </vt:lpstr>
      <vt:lpstr>THỐNG KÊ NẠP</vt:lpstr>
      <vt:lpstr>THỐNG KÊ NẠP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Minh</dc:creator>
  <cp:lastModifiedBy>Long Minh</cp:lastModifiedBy>
  <dcterms:created xsi:type="dcterms:W3CDTF">2025-10-26T01:16:59Z</dcterms:created>
  <dcterms:modified xsi:type="dcterms:W3CDTF">2025-12-16T14:15:28Z</dcterms:modified>
</cp:coreProperties>
</file>