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A105F3B0-C85D-41FE-AD00-509293FF556A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NỢ'!$A$1:$M$18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3" l="1"/>
  <c r="F11" i="3" s="1"/>
  <c r="I10" i="3"/>
  <c r="F10" i="3" s="1"/>
  <c r="I9" i="3"/>
  <c r="F9" i="3" s="1"/>
  <c r="I8" i="3"/>
  <c r="F8" i="3" s="1"/>
  <c r="I7" i="3"/>
  <c r="F7" i="3" s="1"/>
  <c r="E5" i="3"/>
  <c r="E3" i="3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16" i="3"/>
  <c r="R43" i="4"/>
  <c r="F3" i="3"/>
  <c r="F17" i="3"/>
  <c r="F18" i="3" l="1"/>
</calcChain>
</file>

<file path=xl/sharedStrings.xml><?xml version="1.0" encoding="utf-8"?>
<sst xmlns="http://schemas.openxmlformats.org/spreadsheetml/2006/main" count="230" uniqueCount="56">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</sst>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4"/>
  <sheetViews>
    <sheetView tabSelected="1" zoomScale="85" zoomScaleNormal="85" workbookViewId="0">
      <selection activeCell="L21" sqref="L21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420000</v>
      </c>
      <c r="G2" s="32">
        <v>0</v>
      </c>
      <c r="H2" s="33">
        <v>0.2</v>
      </c>
      <c r="I2" s="32">
        <f>(D2*H2)</f>
        <v>70000</v>
      </c>
      <c r="J2" s="16">
        <v>45984</v>
      </c>
      <c r="K2" s="16">
        <v>46018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5</v>
      </c>
      <c r="B6" s="26" t="s">
        <v>8</v>
      </c>
      <c r="C6" s="7" t="s">
        <v>3</v>
      </c>
      <c r="D6" s="30">
        <v>20000</v>
      </c>
      <c r="E6" s="30">
        <v>0</v>
      </c>
      <c r="F6" s="30">
        <f t="shared" ref="F6" si="4">(D6+I6)-E6</f>
        <v>20000</v>
      </c>
      <c r="G6" s="30">
        <v>0</v>
      </c>
      <c r="H6" s="31">
        <v>0</v>
      </c>
      <c r="I6" s="30">
        <f t="shared" ref="I6" si="5">D6*H6</f>
        <v>0</v>
      </c>
      <c r="J6" s="8">
        <v>46006</v>
      </c>
      <c r="K6" s="8"/>
      <c r="L6" s="8"/>
      <c r="M6" s="7" t="s">
        <v>14</v>
      </c>
    </row>
    <row r="7" spans="1:17" x14ac:dyDescent="0.25">
      <c r="A7" s="1">
        <v>6</v>
      </c>
      <c r="B7" s="24" t="s">
        <v>42</v>
      </c>
      <c r="C7" s="1" t="s">
        <v>3</v>
      </c>
      <c r="D7" s="28">
        <v>100000</v>
      </c>
      <c r="E7" s="28">
        <v>0</v>
      </c>
      <c r="F7" s="28">
        <f t="shared" ref="F7" si="6">(D7+I7)-E7</f>
        <v>100000</v>
      </c>
      <c r="G7" s="28">
        <v>0</v>
      </c>
      <c r="H7" s="29">
        <v>0</v>
      </c>
      <c r="I7" s="28">
        <f t="shared" ref="I7" si="7">D7*H7</f>
        <v>0</v>
      </c>
      <c r="J7" s="4">
        <v>46016</v>
      </c>
      <c r="K7" s="4">
        <v>46022</v>
      </c>
      <c r="L7" s="4"/>
      <c r="M7" s="1" t="s">
        <v>14</v>
      </c>
    </row>
    <row r="8" spans="1:17" x14ac:dyDescent="0.25">
      <c r="A8" s="1">
        <v>7</v>
      </c>
      <c r="B8" s="24" t="s">
        <v>40</v>
      </c>
      <c r="C8" s="1" t="s">
        <v>3</v>
      </c>
      <c r="D8" s="28">
        <v>20000</v>
      </c>
      <c r="E8" s="28">
        <v>0</v>
      </c>
      <c r="F8" s="28">
        <f t="shared" ref="F8" si="8">(D8+I8)-E8</f>
        <v>20000</v>
      </c>
      <c r="G8" s="28">
        <v>0</v>
      </c>
      <c r="H8" s="29">
        <v>0</v>
      </c>
      <c r="I8" s="28">
        <f t="shared" ref="I8" si="9">D8*H8</f>
        <v>0</v>
      </c>
      <c r="J8" s="4">
        <v>46016</v>
      </c>
      <c r="K8" s="4">
        <v>46022</v>
      </c>
      <c r="L8" s="4"/>
      <c r="M8" s="1" t="s">
        <v>14</v>
      </c>
    </row>
    <row r="9" spans="1:17" x14ac:dyDescent="0.25">
      <c r="A9" s="1">
        <v>8</v>
      </c>
      <c r="B9" s="24" t="s">
        <v>39</v>
      </c>
      <c r="C9" s="1" t="s">
        <v>51</v>
      </c>
      <c r="D9" s="28">
        <v>50000</v>
      </c>
      <c r="E9" s="28">
        <v>0</v>
      </c>
      <c r="F9" s="28">
        <f t="shared" ref="F9" si="10">(D9+I9)-E9</f>
        <v>50000</v>
      </c>
      <c r="G9" s="28">
        <v>0</v>
      </c>
      <c r="H9" s="29">
        <v>0</v>
      </c>
      <c r="I9" s="28">
        <f t="shared" ref="I9" si="11">D9*H9</f>
        <v>0</v>
      </c>
      <c r="J9" s="4">
        <v>46016</v>
      </c>
      <c r="K9" s="4">
        <v>46022</v>
      </c>
      <c r="L9" s="4"/>
      <c r="M9" s="1" t="s">
        <v>14</v>
      </c>
    </row>
    <row r="10" spans="1:17" x14ac:dyDescent="0.25">
      <c r="A10" s="1">
        <v>9</v>
      </c>
      <c r="B10" s="24" t="s">
        <v>20</v>
      </c>
      <c r="C10" s="1" t="s">
        <v>3</v>
      </c>
      <c r="D10" s="28">
        <v>20000</v>
      </c>
      <c r="E10" s="28">
        <v>0</v>
      </c>
      <c r="F10" s="28">
        <f t="shared" ref="F10" si="12">(D10+I10)-E10</f>
        <v>20000</v>
      </c>
      <c r="G10" s="28">
        <v>0</v>
      </c>
      <c r="H10" s="29">
        <v>0</v>
      </c>
      <c r="I10" s="28">
        <f t="shared" ref="I10" si="13">D10*H10</f>
        <v>0</v>
      </c>
      <c r="J10" s="4">
        <v>46017</v>
      </c>
      <c r="K10" s="4">
        <v>46023</v>
      </c>
      <c r="L10" s="4"/>
      <c r="M10" s="1" t="s">
        <v>14</v>
      </c>
    </row>
    <row r="11" spans="1:17" x14ac:dyDescent="0.25">
      <c r="A11" s="1">
        <v>10</v>
      </c>
      <c r="B11" s="24" t="s">
        <v>55</v>
      </c>
      <c r="C11" s="1" t="s">
        <v>3</v>
      </c>
      <c r="D11" s="28">
        <v>20000</v>
      </c>
      <c r="E11" s="28">
        <v>0</v>
      </c>
      <c r="F11" s="28">
        <f t="shared" ref="F11" si="14">(D11+I11)-E11</f>
        <v>20000</v>
      </c>
      <c r="G11" s="28">
        <v>0</v>
      </c>
      <c r="H11" s="29">
        <v>0</v>
      </c>
      <c r="I11" s="28">
        <f t="shared" ref="I11" si="15">D11*H11</f>
        <v>0</v>
      </c>
      <c r="J11" s="4">
        <v>46017</v>
      </c>
      <c r="K11" s="4">
        <v>46023</v>
      </c>
      <c r="L11" s="4"/>
      <c r="M11" s="1" t="s">
        <v>14</v>
      </c>
    </row>
    <row r="12" spans="1:17" x14ac:dyDescent="0.25">
      <c r="A12" s="1">
        <v>11</v>
      </c>
      <c r="B12" s="24"/>
      <c r="C12" s="1"/>
      <c r="D12" s="28"/>
      <c r="E12" s="28"/>
      <c r="F12" s="28"/>
      <c r="G12" s="28"/>
      <c r="H12" s="29"/>
      <c r="I12" s="28"/>
      <c r="J12" s="4"/>
      <c r="K12" s="4"/>
      <c r="L12" s="4"/>
      <c r="M12" s="1"/>
    </row>
    <row r="13" spans="1:17" x14ac:dyDescent="0.25">
      <c r="A13" s="1">
        <v>12</v>
      </c>
      <c r="B13" s="24"/>
      <c r="C13" s="1"/>
      <c r="D13" s="28"/>
      <c r="E13" s="28"/>
      <c r="F13" s="28"/>
      <c r="G13" s="28"/>
      <c r="H13" s="29"/>
      <c r="I13" s="28"/>
      <c r="J13" s="4"/>
      <c r="K13" s="4"/>
      <c r="L13" s="4"/>
      <c r="M13" s="1"/>
    </row>
    <row r="14" spans="1:17" x14ac:dyDescent="0.25">
      <c r="A14" s="1">
        <v>13</v>
      </c>
      <c r="B14" s="24"/>
      <c r="C14" s="1"/>
      <c r="D14" s="37"/>
      <c r="E14" s="37"/>
      <c r="F14" s="37"/>
      <c r="G14" s="37"/>
      <c r="H14" s="24"/>
      <c r="I14" s="37"/>
      <c r="J14" s="24"/>
      <c r="K14" s="38"/>
      <c r="L14" s="38"/>
      <c r="M14" s="24"/>
    </row>
    <row r="15" spans="1:17" ht="24" x14ac:dyDescent="0.25">
      <c r="B15" s="34" t="s">
        <v>33</v>
      </c>
      <c r="C15" s="34"/>
      <c r="D15" s="40" t="s">
        <v>34</v>
      </c>
      <c r="E15" s="40"/>
      <c r="F15" s="40"/>
      <c r="G15" s="40"/>
    </row>
    <row r="16" spans="1:17" x14ac:dyDescent="0.25">
      <c r="D16" s="39" t="s">
        <v>28</v>
      </c>
      <c r="E16" s="39"/>
      <c r="F16" s="35">
        <f>SUM(D2:D14)</f>
        <v>730000</v>
      </c>
      <c r="G16" s="36"/>
      <c r="J16" s="36"/>
    </row>
    <row r="17" spans="4:13" x14ac:dyDescent="0.25">
      <c r="D17" s="39" t="s">
        <v>29</v>
      </c>
      <c r="E17" s="39"/>
      <c r="F17" s="35">
        <f>SUM(E2:E14)</f>
        <v>96000</v>
      </c>
      <c r="G17" s="36"/>
      <c r="M17" s="25" t="s">
        <v>41</v>
      </c>
    </row>
    <row r="18" spans="4:13" x14ac:dyDescent="0.25">
      <c r="D18" s="39" t="s">
        <v>27</v>
      </c>
      <c r="E18" s="39"/>
      <c r="F18" s="35">
        <f>-SUM(F2:F14)</f>
        <v>-704000</v>
      </c>
      <c r="G18" s="36"/>
    </row>
    <row r="20" spans="4:13" x14ac:dyDescent="0.25">
      <c r="F20" s="36"/>
      <c r="G20" s="36"/>
    </row>
    <row r="21" spans="4:13" x14ac:dyDescent="0.25">
      <c r="F21" s="36"/>
      <c r="G21" s="36"/>
    </row>
    <row r="22" spans="4:13" x14ac:dyDescent="0.25">
      <c r="F22" s="36"/>
      <c r="G22" s="36"/>
    </row>
    <row r="23" spans="4:13" x14ac:dyDescent="0.25">
      <c r="F23" s="36"/>
    </row>
    <row r="24" spans="4:13" x14ac:dyDescent="0.25">
      <c r="F24" s="36"/>
    </row>
  </sheetData>
  <autoFilter ref="A1:M18" xr:uid="{B426C2E0-1FB2-4505-A56E-E149D9D304FF}"/>
  <mergeCells count="4">
    <mergeCell ref="D16:E16"/>
    <mergeCell ref="D17:E17"/>
    <mergeCell ref="D18:E18"/>
    <mergeCell ref="D15:G15"/>
  </mergeCells>
  <phoneticPr fontId="1" type="noConversion"/>
  <hyperlinks>
    <hyperlink ref="D15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0"/>
  <sheetViews>
    <sheetView topLeftCell="A94" workbookViewId="0">
      <selection activeCell="D110" sqref="D110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/>
      <c r="B110" s="19"/>
      <c r="C110" s="20"/>
      <c r="D110" s="22"/>
    </row>
    <row r="111" spans="1:4" ht="18.75" x14ac:dyDescent="0.25">
      <c r="A111" s="21"/>
      <c r="B111" s="19"/>
      <c r="C111" s="20"/>
      <c r="D111" s="22"/>
    </row>
    <row r="112" spans="1:4" ht="18.75" x14ac:dyDescent="0.25">
      <c r="A112" s="21"/>
      <c r="B112" s="19"/>
      <c r="C112" s="20"/>
      <c r="D112" s="22"/>
    </row>
    <row r="113" spans="1:4" ht="18.75" x14ac:dyDescent="0.25">
      <c r="A113" s="21"/>
      <c r="B113" s="19"/>
      <c r="C113" s="20"/>
      <c r="D113" s="22"/>
    </row>
    <row r="114" spans="1:4" ht="18.75" x14ac:dyDescent="0.25">
      <c r="A114" s="21"/>
      <c r="B114" s="19"/>
      <c r="C114" s="20"/>
      <c r="D114" s="22"/>
    </row>
    <row r="115" spans="1:4" ht="18.75" x14ac:dyDescent="0.25">
      <c r="A115" s="21"/>
      <c r="B115" s="19"/>
      <c r="C115" s="20"/>
      <c r="D115" s="22"/>
    </row>
    <row r="116" spans="1:4" ht="18.75" x14ac:dyDescent="0.25">
      <c r="A116" s="21"/>
      <c r="B116" s="19"/>
      <c r="C116" s="20"/>
      <c r="D116" s="22"/>
    </row>
    <row r="117" spans="1:4" ht="18.75" x14ac:dyDescent="0.25">
      <c r="A117" s="21"/>
      <c r="B117" s="19"/>
      <c r="C117" s="20"/>
      <c r="D117" s="22"/>
    </row>
    <row r="118" spans="1:4" ht="18.75" x14ac:dyDescent="0.25">
      <c r="A118" s="21"/>
      <c r="B118" s="19"/>
      <c r="C118" s="20"/>
      <c r="D118" s="22"/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2025-12-26T05:14:16Z</dcterms:modified>
</cp:coreProperties>
</file>