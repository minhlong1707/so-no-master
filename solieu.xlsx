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B5CA84C8-741A-4E23-9B04-F94B96CEF80E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NỢ'!$A$1:$M$19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3" l="1"/>
  <c r="F12" i="3" s="1"/>
  <c r="I11" i="3"/>
  <c r="F11" i="3" s="1"/>
  <c r="I10" i="3"/>
  <c r="F10" i="3" s="1"/>
  <c r="E5" i="3"/>
  <c r="E3" i="3"/>
  <c r="I9" i="3"/>
  <c r="F9" i="3" s="1"/>
  <c r="I7" i="3"/>
  <c r="F7" i="3" s="1"/>
  <c r="D8" i="3"/>
  <c r="I8" i="3" s="1"/>
  <c r="F8" i="3" s="1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17" i="3"/>
  <c r="R43" i="4"/>
  <c r="F3" i="3"/>
  <c r="F18" i="3"/>
  <c r="F19" i="3" l="1"/>
</calcChain>
</file>

<file path=xl/sharedStrings.xml><?xml version="1.0" encoding="utf-8"?>
<sst xmlns="http://schemas.openxmlformats.org/spreadsheetml/2006/main" count="219" uniqueCount="56">
  <si>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</si>
  <si>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</si>
  <si>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</si>
  <si>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</si>
  <si>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</si>
  <si>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</si>
  <si>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</si>
  <si>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</si>
  <si>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</si>
  <si>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</si>
  <si>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</si>
  <si>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</si>
  <si>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</si>
  <si>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</si>
  <si>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</si>
  <si>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</si>
  <si>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</si>
  <si>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</si>
  <si>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</si>
  <si>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</si>
  <si>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</si>
  <si>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</si>
  <si>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</si>
  <si>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</si>
  <si>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</si>
  <si>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</si>
  <si>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</si>
  <si>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</si>
  <si>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</si>
  <si>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</si>
  <si>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</si>
  <si>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</si>
  <si>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</si>
  <si>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</si>
  <si>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</si>
  <si>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</si>
  <si>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</si>
  <si>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</si>
  <si>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</si>
  <si>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</si>
  <si>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</si>
  <si>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</si>
  <si>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</si>
  <si>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</si>
  <si>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</si>
  <si>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</si>
  <si>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</si>
  <si>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</si>
  <si>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</si>
  <si>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</si>
  <si>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</si>
  <si>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</si>
  <si>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Đã trả đủ</t>
  </si>
  <si>
    <t>Mua thẻ Garena</t>
  </si>
  <si>
    <t>Huỳnh Gua Phú</t>
  </si>
  <si>
    <t>Mua quân huy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</si>
</sst>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5"/>
  <sheetViews>
    <sheetView tabSelected="1" zoomScale="85" zoomScaleNormal="85" workbookViewId="0">
      <selection activeCell="I20" sqref="I20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420000</v>
      </c>
      <c r="G2" s="32">
        <v>0</v>
      </c>
      <c r="H2" s="33">
        <v>0.2</v>
      </c>
      <c r="I2" s="32">
        <f>(D2*H2)</f>
        <v>70000</v>
      </c>
      <c r="J2" s="16">
        <v>45984</v>
      </c>
      <c r="K2" s="16">
        <v>46018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6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7</v>
      </c>
      <c r="B7" s="39" t="s">
        <v>39</v>
      </c>
      <c r="C7" s="40" t="s">
        <v>30</v>
      </c>
      <c r="D7" s="41">
        <v>100000</v>
      </c>
      <c r="E7" s="41">
        <v>100000</v>
      </c>
      <c r="F7" s="41">
        <f t="shared" ref="F7:F8" si="6">(D7+I7)-E7</f>
        <v>0</v>
      </c>
      <c r="G7" s="41">
        <v>0</v>
      </c>
      <c r="H7" s="42">
        <v>0</v>
      </c>
      <c r="I7" s="41">
        <f t="shared" ref="I7:I8" si="7">D7*H7</f>
        <v>0</v>
      </c>
      <c r="J7" s="43">
        <v>46010</v>
      </c>
      <c r="K7" s="43">
        <v>46015</v>
      </c>
      <c r="L7" s="43"/>
      <c r="M7" s="40" t="s">
        <v>52</v>
      </c>
    </row>
    <row r="8" spans="1:17" x14ac:dyDescent="0.25">
      <c r="A8" s="1">
        <v>8</v>
      </c>
      <c r="B8" s="39" t="s">
        <v>17</v>
      </c>
      <c r="C8" s="40" t="s">
        <v>30</v>
      </c>
      <c r="D8" s="41">
        <f>50000+110000</f>
        <v>160000</v>
      </c>
      <c r="E8" s="41">
        <v>160000</v>
      </c>
      <c r="F8" s="41">
        <f t="shared" si="6"/>
        <v>0</v>
      </c>
      <c r="G8" s="41">
        <v>0</v>
      </c>
      <c r="H8" s="42">
        <v>0</v>
      </c>
      <c r="I8" s="41">
        <f t="shared" si="7"/>
        <v>0</v>
      </c>
      <c r="J8" s="43">
        <v>46010</v>
      </c>
      <c r="K8" s="43">
        <v>46015</v>
      </c>
      <c r="L8" s="43"/>
      <c r="M8" s="40" t="s">
        <v>52</v>
      </c>
    </row>
    <row r="9" spans="1:17" x14ac:dyDescent="0.25">
      <c r="A9" s="1">
        <v>9</v>
      </c>
      <c r="B9" s="39" t="s">
        <v>39</v>
      </c>
      <c r="C9" s="40" t="s">
        <v>30</v>
      </c>
      <c r="D9" s="41">
        <v>100000</v>
      </c>
      <c r="E9" s="41">
        <v>100000</v>
      </c>
      <c r="F9" s="41">
        <f t="shared" ref="F9" si="8">(D9+I9)-E9</f>
        <v>0</v>
      </c>
      <c r="G9" s="41">
        <v>0</v>
      </c>
      <c r="H9" s="42">
        <v>0</v>
      </c>
      <c r="I9" s="41">
        <f t="shared" ref="I9" si="9">D9*H9</f>
        <v>0</v>
      </c>
      <c r="J9" s="43">
        <v>46011</v>
      </c>
      <c r="K9" s="43">
        <v>46015</v>
      </c>
      <c r="L9" s="43"/>
      <c r="M9" s="40" t="s">
        <v>52</v>
      </c>
    </row>
    <row r="10" spans="1:17" x14ac:dyDescent="0.25">
      <c r="A10" s="1">
        <v>10</v>
      </c>
      <c r="B10" s="39" t="s">
        <v>44</v>
      </c>
      <c r="C10" s="40" t="s">
        <v>53</v>
      </c>
      <c r="D10" s="41">
        <v>50000</v>
      </c>
      <c r="E10" s="41">
        <v>50000</v>
      </c>
      <c r="F10" s="41">
        <f t="shared" ref="F10" si="10">(D10+I10)-E10</f>
        <v>0</v>
      </c>
      <c r="G10" s="41">
        <v>0</v>
      </c>
      <c r="H10" s="42">
        <v>0</v>
      </c>
      <c r="I10" s="41">
        <f t="shared" ref="I10" si="11">D10*H10</f>
        <v>0</v>
      </c>
      <c r="J10" s="43">
        <v>46013</v>
      </c>
      <c r="K10" s="43">
        <v>46015</v>
      </c>
      <c r="L10" s="43"/>
      <c r="M10" s="40" t="s">
        <v>52</v>
      </c>
    </row>
    <row r="11" spans="1:17" x14ac:dyDescent="0.25">
      <c r="A11" s="1">
        <v>11</v>
      </c>
      <c r="B11" s="24" t="s">
        <v>26</v>
      </c>
      <c r="C11" s="1" t="s">
        <v>43</v>
      </c>
      <c r="D11" s="28">
        <v>50000</v>
      </c>
      <c r="E11" s="28">
        <v>0</v>
      </c>
      <c r="F11" s="28">
        <f t="shared" ref="F11" si="12">(D11+I11)-E11</f>
        <v>50000</v>
      </c>
      <c r="G11" s="28">
        <v>0</v>
      </c>
      <c r="H11" s="29">
        <v>0</v>
      </c>
      <c r="I11" s="28">
        <f t="shared" ref="I11" si="13">D11*H11</f>
        <v>0</v>
      </c>
      <c r="J11" s="4">
        <v>46014</v>
      </c>
      <c r="K11" s="4">
        <v>46020</v>
      </c>
      <c r="L11" s="4"/>
      <c r="M11" s="1" t="s">
        <v>14</v>
      </c>
    </row>
    <row r="12" spans="1:17" x14ac:dyDescent="0.25">
      <c r="A12" s="1">
        <v>12</v>
      </c>
      <c r="B12" s="39" t="s">
        <v>15</v>
      </c>
      <c r="C12" s="40" t="s">
        <v>55</v>
      </c>
      <c r="D12" s="41">
        <v>25000</v>
      </c>
      <c r="E12" s="41">
        <v>25000</v>
      </c>
      <c r="F12" s="41">
        <f t="shared" ref="F12" si="14">(D12+I12)-E12</f>
        <v>0</v>
      </c>
      <c r="G12" s="41">
        <v>0</v>
      </c>
      <c r="H12" s="42">
        <v>0</v>
      </c>
      <c r="I12" s="41">
        <f t="shared" ref="I12" si="15">D12*H12</f>
        <v>0</v>
      </c>
      <c r="J12" s="43">
        <v>46010</v>
      </c>
      <c r="K12" s="43">
        <v>46015</v>
      </c>
      <c r="L12" s="43"/>
      <c r="M12" s="40" t="s">
        <v>52</v>
      </c>
    </row>
    <row r="13" spans="1:17" x14ac:dyDescent="0.25">
      <c r="A13" s="1">
        <v>13</v>
      </c>
      <c r="B13" s="24"/>
      <c r="C13" s="1"/>
      <c r="D13" s="28"/>
      <c r="E13" s="28"/>
      <c r="F13" s="28"/>
      <c r="G13" s="28"/>
      <c r="H13" s="29"/>
      <c r="I13" s="28"/>
      <c r="J13" s="4"/>
      <c r="K13" s="4"/>
      <c r="L13" s="4"/>
      <c r="M13" s="1"/>
    </row>
    <row r="14" spans="1:17" x14ac:dyDescent="0.25">
      <c r="A14" s="1">
        <v>14</v>
      </c>
      <c r="B14" s="24"/>
      <c r="C14" s="1"/>
      <c r="D14" s="28"/>
      <c r="E14" s="28"/>
      <c r="F14" s="28"/>
      <c r="G14" s="28"/>
      <c r="H14" s="29"/>
      <c r="I14" s="28"/>
      <c r="J14" s="4"/>
      <c r="K14" s="4"/>
      <c r="L14" s="4"/>
      <c r="M14" s="1"/>
    </row>
    <row r="15" spans="1:17" x14ac:dyDescent="0.25">
      <c r="A15" s="1">
        <v>15</v>
      </c>
      <c r="B15" s="24"/>
      <c r="C15" s="1"/>
      <c r="D15" s="37"/>
      <c r="E15" s="37"/>
      <c r="F15" s="37"/>
      <c r="G15" s="37"/>
      <c r="H15" s="24"/>
      <c r="I15" s="37"/>
      <c r="J15" s="24"/>
      <c r="K15" s="38"/>
      <c r="L15" s="38"/>
      <c r="M15" s="24"/>
    </row>
    <row r="16" spans="1:17" ht="24" x14ac:dyDescent="0.25">
      <c r="B16" s="34" t="s">
        <v>33</v>
      </c>
      <c r="C16" s="34"/>
      <c r="D16" s="45" t="s">
        <v>34</v>
      </c>
      <c r="E16" s="45"/>
      <c r="F16" s="45"/>
      <c r="G16" s="45"/>
    </row>
    <row r="17" spans="4:13" x14ac:dyDescent="0.25">
      <c r="D17" s="44" t="s">
        <v>28</v>
      </c>
      <c r="E17" s="44"/>
      <c r="F17" s="35">
        <f>SUM(D2:D15)</f>
        <v>1005000</v>
      </c>
      <c r="G17" s="36"/>
      <c r="J17" s="36"/>
    </row>
    <row r="18" spans="4:13" x14ac:dyDescent="0.25">
      <c r="D18" s="44" t="s">
        <v>29</v>
      </c>
      <c r="E18" s="44"/>
      <c r="F18" s="35">
        <f>SUM(E2:E15)</f>
        <v>531000</v>
      </c>
      <c r="G18" s="36"/>
      <c r="M18" s="25" t="s">
        <v>41</v>
      </c>
    </row>
    <row r="19" spans="4:13" x14ac:dyDescent="0.25">
      <c r="D19" s="44" t="s">
        <v>27</v>
      </c>
      <c r="E19" s="44"/>
      <c r="F19" s="35">
        <f>-SUM(F2:F15)</f>
        <v>-544000</v>
      </c>
      <c r="G19" s="36"/>
    </row>
    <row r="21" spans="4:13" x14ac:dyDescent="0.25">
      <c r="F21" s="36"/>
      <c r="G21" s="36"/>
    </row>
    <row r="22" spans="4:13" x14ac:dyDescent="0.25">
      <c r="F22" s="36"/>
      <c r="G22" s="36"/>
    </row>
    <row r="23" spans="4:13" x14ac:dyDescent="0.25">
      <c r="F23" s="36"/>
      <c r="G23" s="36"/>
    </row>
    <row r="24" spans="4:13" x14ac:dyDescent="0.25">
      <c r="F24" s="36"/>
    </row>
    <row r="25" spans="4:13" x14ac:dyDescent="0.25">
      <c r="F25" s="36"/>
    </row>
  </sheetData>
  <autoFilter ref="A1:M19" xr:uid="{B426C2E0-1FB2-4505-A56E-E149D9D304FF}"/>
  <mergeCells count="4">
    <mergeCell ref="D17:E17"/>
    <mergeCell ref="D18:E18"/>
    <mergeCell ref="D19:E19"/>
    <mergeCell ref="D16:G16"/>
  </mergeCells>
  <phoneticPr fontId="1" type="noConversion"/>
  <hyperlinks>
    <hyperlink ref="D16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0"/>
  <sheetViews>
    <sheetView topLeftCell="A97" workbookViewId="0">
      <selection activeCell="D94" sqref="D94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54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53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/>
      <c r="B103" s="19"/>
      <c r="C103" s="20"/>
      <c r="D103" s="22"/>
    </row>
    <row r="104" spans="1:4" ht="18.75" x14ac:dyDescent="0.25">
      <c r="A104" s="21"/>
      <c r="B104" s="19"/>
      <c r="C104" s="20"/>
      <c r="D104" s="22"/>
    </row>
    <row r="105" spans="1:4" ht="18.75" x14ac:dyDescent="0.25">
      <c r="A105" s="21"/>
      <c r="B105" s="19"/>
      <c r="C105" s="20"/>
      <c r="D105" s="22"/>
    </row>
    <row r="106" spans="1:4" ht="18.75" x14ac:dyDescent="0.25">
      <c r="A106" s="21"/>
      <c r="B106" s="19"/>
      <c r="C106" s="20"/>
      <c r="D106" s="22"/>
    </row>
    <row r="107" spans="1:4" ht="18.75" x14ac:dyDescent="0.25">
      <c r="A107" s="21"/>
      <c r="B107" s="19"/>
      <c r="C107" s="20"/>
      <c r="D107" s="22"/>
    </row>
    <row r="108" spans="1:4" ht="18.75" x14ac:dyDescent="0.25">
      <c r="A108" s="21"/>
      <c r="B108" s="19"/>
      <c r="C108" s="20"/>
      <c r="D108" s="22"/>
    </row>
    <row r="109" spans="1:4" ht="18.75" x14ac:dyDescent="0.25">
      <c r="A109" s="21"/>
      <c r="B109" s="19"/>
      <c r="C109" s="20"/>
      <c r="D109" s="22"/>
    </row>
    <row r="110" spans="1:4" ht="18.75" x14ac:dyDescent="0.25">
      <c r="A110" s="21"/>
      <c r="B110" s="19"/>
      <c r="C110" s="20"/>
      <c r="D110" s="22"/>
    </row>
    <row r="111" spans="1:4" ht="18.75" x14ac:dyDescent="0.25">
      <c r="A111" s="21"/>
      <c r="B111" s="19"/>
      <c r="C111" s="20"/>
      <c r="D111" s="22"/>
    </row>
    <row r="112" spans="1:4" ht="18.75" x14ac:dyDescent="0.25">
      <c r="A112" s="21"/>
      <c r="B112" s="19"/>
      <c r="C112" s="20"/>
      <c r="D112" s="22"/>
    </row>
    <row r="113" spans="1:4" ht="18.75" x14ac:dyDescent="0.25">
      <c r="A113" s="21"/>
      <c r="B113" s="19"/>
      <c r="C113" s="20"/>
      <c r="D113" s="22"/>
    </row>
    <row r="114" spans="1:4" ht="18.75" x14ac:dyDescent="0.25">
      <c r="A114" s="21"/>
      <c r="B114" s="19"/>
      <c r="C114" s="20"/>
      <c r="D114" s="22"/>
    </row>
    <row r="115" spans="1:4" ht="18.75" x14ac:dyDescent="0.25">
      <c r="A115" s="21"/>
      <c r="B115" s="19"/>
      <c r="C115" s="20"/>
      <c r="D115" s="22"/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2025-12-24T04:39:09Z</dcterms:modified>
</cp:coreProperties>
</file>