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6D224600-F387-4910-96A7-96F648B9DC34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NỢ'!$A$1:$M$34</definedName>
    <definedName name="_xlnm._FilterDatabase" localSheetId="2" hidden="1">'THỐNG KÊ NẠP'!$A$1:$U$41</definedName>
    <definedName name="_xlnm._FilterDatabase" localSheetId="1" hidden="1">'THONG KE NAP '!$A$1:$D$237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" i="3" l="1"/>
  <c r="K45" i="3"/>
  <c r="E11" i="3"/>
  <c r="E10" i="3"/>
  <c r="I13" i="3"/>
  <c r="F13" i="3" s="1"/>
  <c r="E12" i="3"/>
  <c r="E37" i="3"/>
  <c r="I23" i="3"/>
  <c r="F23" i="3" s="1"/>
  <c r="I22" i="3"/>
  <c r="F22" i="3" s="1"/>
  <c r="I20" i="3"/>
  <c r="F20" i="3" s="1"/>
  <c r="I21" i="3"/>
  <c r="F21" i="3" s="1"/>
  <c r="I19" i="3"/>
  <c r="F19" i="3" s="1"/>
  <c r="I18" i="3"/>
  <c r="F18" i="3" s="1"/>
  <c r="I17" i="3"/>
  <c r="F17" i="3" s="1"/>
  <c r="I16" i="3"/>
  <c r="F16" i="3" s="1"/>
  <c r="I15" i="3"/>
  <c r="F15" i="3" s="1"/>
  <c r="I14" i="3"/>
  <c r="F14" i="3" s="1"/>
  <c r="I10" i="3"/>
  <c r="I11" i="3"/>
  <c r="I12" i="3"/>
  <c r="I9" i="3"/>
  <c r="F9" i="3" s="1"/>
  <c r="I8" i="3"/>
  <c r="F8" i="3" s="1"/>
  <c r="I7" i="3"/>
  <c r="F7" i="3" s="1"/>
  <c r="I6" i="3"/>
  <c r="F6" i="3" s="1"/>
  <c r="I5" i="3"/>
  <c r="F5" i="3" s="1"/>
  <c r="I4" i="3"/>
  <c r="F4" i="3" s="1"/>
  <c r="D3" i="3"/>
  <c r="I3" i="3" s="1"/>
  <c r="E3" i="3"/>
  <c r="U43" i="4"/>
  <c r="T43" i="4"/>
  <c r="R26" i="4"/>
  <c r="R25" i="4"/>
  <c r="R19" i="4"/>
  <c r="R8" i="4"/>
  <c r="G20" i="4"/>
  <c r="G43" i="4" s="1"/>
  <c r="F10" i="4"/>
  <c r="E16" i="4"/>
  <c r="C43" i="4"/>
  <c r="I2" i="3"/>
  <c r="F2" i="3" s="1"/>
  <c r="D43" i="4"/>
  <c r="Q43" i="4"/>
  <c r="K43" i="4"/>
  <c r="S43" i="4"/>
  <c r="J43" i="4"/>
  <c r="E43" i="4"/>
  <c r="P43" i="4"/>
  <c r="F43" i="4"/>
  <c r="H43" i="4"/>
  <c r="I43" i="4"/>
  <c r="L43" i="4"/>
  <c r="M43" i="4"/>
  <c r="N43" i="4"/>
  <c r="O43" i="4"/>
  <c r="B43" i="4"/>
  <c r="F10" i="3" l="1"/>
  <c r="F11" i="3"/>
  <c r="F12" i="3"/>
  <c r="O16" i="3"/>
  <c r="F33" i="3"/>
  <c r="F32" i="3"/>
  <c r="R43" i="4"/>
  <c r="F3" i="3"/>
  <c r="F35" i="3" l="1"/>
  <c r="F34" i="3"/>
</calcChain>
</file>

<file path=xl/sharedStrings.xml><?xml version="1.0" encoding="utf-8"?>
<sst xmlns="http://schemas.openxmlformats.org/spreadsheetml/2006/main" count="584" uniqueCount="83">
  <si>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</si>
  <si>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</si>
  <si>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</si>
  <si>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</si>
  <si>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</si>
  <si>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</si>
  <si>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</si>
  <si>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</si>
  <si>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</si>
  <si>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</si>
  <si>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</si>
  <si>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</si>
  <si>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</si>
  <si>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</si>
  <si>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</si>
  <si>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</si>
  <si>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</si>
  <si>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</si>
  <si>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</si>
  <si>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</si>
  <si>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</si>
  <si>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</si>
  <si>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</si>
  <si>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</si>
  <si>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</si>
  <si>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</si>
  <si>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</si>
  <si>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</si>
  <si>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</si>
  <si>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</si>
  <si>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</si>
  <si>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</si>
  <si>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</si>
  <si>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</si>
  <si>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</si>
  <si>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</si>
  <si>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</si>
  <si>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</si>
  <si>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</si>
  <si>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</si>
  <si>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</si>
  <si>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</si>
  <si>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</si>
  <si>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</si>
  <si>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</si>
  <si>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</si>
  <si>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</si>
  <si>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</si>
  <si>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</si>
  <si>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</si>
  <si>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</si>
  <si>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</si>
  <si>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</si>
  <si>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</si>
  <si>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</si>
  <si>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</si>
  <si>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</si>
  <si>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</si>
  <si>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>Phụ thu đổi thẻ Zing</t>
  </si>
  <si>
    <t>Hồ Nhã Lan</t>
  </si>
  <si>
    <t>Nợ</t>
  </si>
  <si>
    <t>Trương Gia Hân</t>
  </si>
  <si>
    <t>Nợ ba</t>
  </si>
  <si>
    <t>Đỗ Mai Linh</t>
  </si>
  <si>
    <t>Phan Trà Phương Trang</t>
  </si>
  <si>
    <t>Chênh lệch:</t>
  </si>
  <si>
    <t>Nguyễn Hoàng Gia Hân</t>
  </si>
  <si>
    <t>Mua thẻ tháng Free Fire</t>
  </si>
  <si>
    <t>Nợ mẹ</t>
  </si>
  <si>
    <t>Đinh Gia Bảo (bi)</t>
  </si>
  <si>
    <t>Nguyễn Dũng Giang Danh</t>
  </si>
  <si>
    <t>Phạm Công Minh</t>
  </si>
  <si>
    <t>Trần Minh Đạt</t>
  </si>
  <si>
    <t>Đã trả đủ</t>
  </si>
  <si>
    <t>bảo</t>
  </si>
  <si>
    <t xml:space="preserve">bảo </t>
  </si>
  <si>
    <t xml:space="preserve">vinh </t>
  </si>
  <si>
    <t xml:space="preserve">khánh </t>
  </si>
  <si>
    <t xml:space="preserve">nhân </t>
  </si>
  <si>
    <t xml:space="preserve">ý </t>
  </si>
  <si>
    <t xml:space="preserve">thư </t>
  </si>
  <si>
    <t xml:space="preserve">trân </t>
  </si>
  <si>
    <t xml:space="preserve">nghĩa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</si>
</sst>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  <numFmt numFmtId="168" formatCode="_-* #,##0\ [$₫-42A]_-;\-* #,##0\ [$₫-42A]_-;_-* &quot;-&quot;???\ [$₫-42A]_-;_-@_-"/>
  </numFmts>
  <fonts count="1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b/>
      <u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68" fontId="0" fillId="0" borderId="0" xfId="0" applyNumberFormat="1" applyAlignment="1">
      <alignment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4" xfId="1" applyBorder="1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45"/>
  <sheetViews>
    <sheetView tabSelected="1" topLeftCell="A4" zoomScale="85" zoomScaleNormal="85" workbookViewId="0">
      <selection activeCell="E14" sqref="E14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21.7109375" style="25" bestFit="1" customWidth="1"/>
    <col min="4" max="5" width="12.140625" style="25" customWidth="1"/>
    <col min="6" max="6" width="14.2851562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10.42578125" style="25" bestFit="1" customWidth="1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45" t="s">
        <v>18</v>
      </c>
      <c r="C2" s="15" t="s">
        <v>16</v>
      </c>
      <c r="D2" s="31">
        <v>350000</v>
      </c>
      <c r="E2" s="31">
        <v>280000</v>
      </c>
      <c r="F2" s="31">
        <f>(D2+I2)-E2</f>
        <v>245000</v>
      </c>
      <c r="G2" s="31">
        <v>0</v>
      </c>
      <c r="H2" s="32">
        <v>0.5</v>
      </c>
      <c r="I2" s="31">
        <f>(D2*H2)</f>
        <v>175000</v>
      </c>
      <c r="J2" s="16">
        <v>45984</v>
      </c>
      <c r="K2" s="16">
        <v>46067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29">
        <f>20000+10000</f>
        <v>30000</v>
      </c>
      <c r="E3" s="29">
        <f>10000+5000</f>
        <v>15000</v>
      </c>
      <c r="F3" s="29">
        <f t="shared" ref="F3" si="0">(D3+I3)-E3</f>
        <v>15000</v>
      </c>
      <c r="G3" s="29">
        <v>0</v>
      </c>
      <c r="H3" s="30">
        <v>0</v>
      </c>
      <c r="I3" s="29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4" t="s">
        <v>59</v>
      </c>
      <c r="C4" s="1" t="s">
        <v>60</v>
      </c>
      <c r="D4" s="27">
        <v>2000</v>
      </c>
      <c r="E4" s="27">
        <v>0</v>
      </c>
      <c r="F4" s="27">
        <f t="shared" ref="F4" si="2">(D4+I4)-E4</f>
        <v>2400</v>
      </c>
      <c r="G4" s="27">
        <v>0</v>
      </c>
      <c r="H4" s="28">
        <v>0.2</v>
      </c>
      <c r="I4" s="27">
        <f t="shared" ref="I4" si="3">D4*H4</f>
        <v>400</v>
      </c>
      <c r="J4" s="4">
        <v>46022</v>
      </c>
      <c r="K4" s="4">
        <v>46063</v>
      </c>
      <c r="L4" s="4"/>
      <c r="M4" s="1" t="s">
        <v>14</v>
      </c>
    </row>
    <row r="5" spans="1:17" x14ac:dyDescent="0.25">
      <c r="A5" s="1">
        <v>4</v>
      </c>
      <c r="B5" s="24" t="s">
        <v>66</v>
      </c>
      <c r="C5" s="1" t="s">
        <v>3</v>
      </c>
      <c r="D5" s="27">
        <v>20000</v>
      </c>
      <c r="E5" s="27">
        <v>0</v>
      </c>
      <c r="F5" s="27">
        <f t="shared" ref="F5:F6" si="4">(D5+I5)-E5</f>
        <v>21000</v>
      </c>
      <c r="G5" s="27">
        <v>0</v>
      </c>
      <c r="H5" s="28">
        <v>0.05</v>
      </c>
      <c r="I5" s="27">
        <f t="shared" ref="I5:I6" si="5">D5*H5</f>
        <v>1000</v>
      </c>
      <c r="J5" s="4">
        <v>46049</v>
      </c>
      <c r="K5" s="4">
        <v>46062</v>
      </c>
      <c r="L5" s="4"/>
      <c r="M5" s="1" t="s">
        <v>14</v>
      </c>
    </row>
    <row r="6" spans="1:17" x14ac:dyDescent="0.25">
      <c r="A6" s="1">
        <v>5</v>
      </c>
      <c r="B6" s="24" t="s">
        <v>66</v>
      </c>
      <c r="C6" s="1" t="s">
        <v>3</v>
      </c>
      <c r="D6" s="27">
        <v>20000</v>
      </c>
      <c r="E6" s="27">
        <v>0</v>
      </c>
      <c r="F6" s="27">
        <f t="shared" si="4"/>
        <v>21000</v>
      </c>
      <c r="G6" s="27">
        <v>0</v>
      </c>
      <c r="H6" s="28">
        <v>0.05</v>
      </c>
      <c r="I6" s="27">
        <f t="shared" si="5"/>
        <v>1000</v>
      </c>
      <c r="J6" s="4">
        <v>46050</v>
      </c>
      <c r="K6" s="4">
        <v>46063</v>
      </c>
      <c r="L6" s="4"/>
      <c r="M6" s="1" t="s">
        <v>14</v>
      </c>
    </row>
    <row r="7" spans="1:17" x14ac:dyDescent="0.25">
      <c r="A7" s="1">
        <v>6</v>
      </c>
      <c r="B7" s="24" t="s">
        <v>72</v>
      </c>
      <c r="C7" s="1" t="s">
        <v>57</v>
      </c>
      <c r="D7" s="27">
        <v>325000</v>
      </c>
      <c r="E7" s="27">
        <v>0</v>
      </c>
      <c r="F7" s="27">
        <f t="shared" ref="F7" si="6">(D7+I7)-E7</f>
        <v>341250</v>
      </c>
      <c r="G7" s="27">
        <v>0</v>
      </c>
      <c r="H7" s="28">
        <v>0.05</v>
      </c>
      <c r="I7" s="27">
        <f t="shared" ref="I7" si="7">D7*H7</f>
        <v>16250</v>
      </c>
      <c r="J7" s="4">
        <v>46054</v>
      </c>
      <c r="K7" s="4">
        <v>46067</v>
      </c>
      <c r="L7" s="4"/>
      <c r="M7" s="1" t="s">
        <v>14</v>
      </c>
    </row>
    <row r="8" spans="1:17" x14ac:dyDescent="0.25">
      <c r="A8" s="1">
        <v>7</v>
      </c>
      <c r="B8" s="24" t="s">
        <v>66</v>
      </c>
      <c r="C8" s="1" t="s">
        <v>3</v>
      </c>
      <c r="D8" s="27">
        <v>100000</v>
      </c>
      <c r="E8" s="27">
        <v>0</v>
      </c>
      <c r="F8" s="27">
        <f t="shared" ref="F8" si="8">(D8+I8)-E8</f>
        <v>105000</v>
      </c>
      <c r="G8" s="27">
        <v>0</v>
      </c>
      <c r="H8" s="28">
        <v>0.05</v>
      </c>
      <c r="I8" s="27">
        <f t="shared" ref="I8" si="9">D8*H8</f>
        <v>5000</v>
      </c>
      <c r="J8" s="4">
        <v>46054</v>
      </c>
      <c r="K8" s="4">
        <v>46067</v>
      </c>
      <c r="L8" s="4"/>
      <c r="M8" s="1" t="s">
        <v>14</v>
      </c>
    </row>
    <row r="9" spans="1:17" x14ac:dyDescent="0.25">
      <c r="A9" s="1">
        <v>8</v>
      </c>
      <c r="B9" s="44" t="s">
        <v>36</v>
      </c>
      <c r="C9" s="40" t="s">
        <v>3</v>
      </c>
      <c r="D9" s="41">
        <v>100000</v>
      </c>
      <c r="E9" s="41">
        <v>100000</v>
      </c>
      <c r="F9" s="41">
        <f t="shared" ref="F9" si="10">(D9+I9)-E9</f>
        <v>5000</v>
      </c>
      <c r="G9" s="41">
        <v>0</v>
      </c>
      <c r="H9" s="42">
        <v>0.05</v>
      </c>
      <c r="I9" s="41">
        <f t="shared" ref="I9" si="11">D9*H9</f>
        <v>5000</v>
      </c>
      <c r="J9" s="43">
        <v>46055</v>
      </c>
      <c r="K9" s="43">
        <v>46062</v>
      </c>
      <c r="L9" s="43"/>
      <c r="M9" s="40" t="s">
        <v>73</v>
      </c>
    </row>
    <row r="10" spans="1:17" x14ac:dyDescent="0.25">
      <c r="A10" s="1">
        <v>9</v>
      </c>
      <c r="B10" s="39" t="s">
        <v>22</v>
      </c>
      <c r="C10" s="40" t="s">
        <v>3</v>
      </c>
      <c r="D10" s="41">
        <v>80000</v>
      </c>
      <c r="E10" s="41">
        <f>50000+30000</f>
        <v>80000</v>
      </c>
      <c r="F10" s="41">
        <f t="shared" ref="F10:F12" si="12">(D10+I10)-E10</f>
        <v>0</v>
      </c>
      <c r="G10" s="41">
        <v>0</v>
      </c>
      <c r="H10" s="42">
        <v>0</v>
      </c>
      <c r="I10" s="41">
        <f t="shared" ref="I10:I12" si="13">D10*H10</f>
        <v>0</v>
      </c>
      <c r="J10" s="43">
        <v>46056</v>
      </c>
      <c r="K10" s="43">
        <v>46062</v>
      </c>
      <c r="L10" s="43"/>
      <c r="M10" s="40" t="s">
        <v>73</v>
      </c>
    </row>
    <row r="11" spans="1:17" x14ac:dyDescent="0.25">
      <c r="A11" s="1">
        <v>10</v>
      </c>
      <c r="B11" s="24" t="s">
        <v>22</v>
      </c>
      <c r="C11" s="1" t="s">
        <v>57</v>
      </c>
      <c r="D11" s="27">
        <v>280000</v>
      </c>
      <c r="E11" s="27">
        <f>70000</f>
        <v>70000</v>
      </c>
      <c r="F11" s="27">
        <f t="shared" si="12"/>
        <v>210000</v>
      </c>
      <c r="G11" s="27">
        <v>0</v>
      </c>
      <c r="H11" s="28">
        <v>0</v>
      </c>
      <c r="I11" s="27">
        <f t="shared" si="13"/>
        <v>0</v>
      </c>
      <c r="J11" s="4">
        <v>46056</v>
      </c>
      <c r="K11" s="4">
        <v>46062</v>
      </c>
      <c r="L11" s="4"/>
      <c r="M11" s="1" t="s">
        <v>14</v>
      </c>
    </row>
    <row r="12" spans="1:17" x14ac:dyDescent="0.25">
      <c r="A12" s="1">
        <v>11</v>
      </c>
      <c r="B12" s="39" t="s">
        <v>8</v>
      </c>
      <c r="C12" s="40" t="s">
        <v>52</v>
      </c>
      <c r="D12" s="41">
        <v>50000</v>
      </c>
      <c r="E12" s="41">
        <f>10000+40000</f>
        <v>50000</v>
      </c>
      <c r="F12" s="41">
        <f t="shared" si="12"/>
        <v>0</v>
      </c>
      <c r="G12" s="41">
        <v>0</v>
      </c>
      <c r="H12" s="42">
        <v>0</v>
      </c>
      <c r="I12" s="41">
        <f t="shared" si="13"/>
        <v>0</v>
      </c>
      <c r="J12" s="43">
        <v>46056</v>
      </c>
      <c r="K12" s="43">
        <v>46062</v>
      </c>
      <c r="L12" s="43"/>
      <c r="M12" s="40" t="s">
        <v>73</v>
      </c>
    </row>
    <row r="13" spans="1:17" x14ac:dyDescent="0.25">
      <c r="A13" s="1">
        <v>12</v>
      </c>
      <c r="B13" s="44" t="s">
        <v>36</v>
      </c>
      <c r="C13" s="40" t="s">
        <v>24</v>
      </c>
      <c r="D13" s="41">
        <v>20000</v>
      </c>
      <c r="E13" s="41">
        <v>20000</v>
      </c>
      <c r="F13" s="41">
        <f t="shared" ref="F13:F14" si="14">(D13+I13)-E13</f>
        <v>0</v>
      </c>
      <c r="G13" s="41">
        <v>0</v>
      </c>
      <c r="H13" s="42">
        <v>0</v>
      </c>
      <c r="I13" s="41">
        <f t="shared" ref="I13:I14" si="15">D13*H13</f>
        <v>0</v>
      </c>
      <c r="J13" s="43">
        <v>46058</v>
      </c>
      <c r="K13" s="43">
        <v>46062</v>
      </c>
      <c r="L13" s="43"/>
      <c r="M13" s="40" t="s">
        <v>73</v>
      </c>
      <c r="O13" s="25">
        <v>300</v>
      </c>
      <c r="P13" s="25">
        <v>10</v>
      </c>
    </row>
    <row r="14" spans="1:17" x14ac:dyDescent="0.25">
      <c r="A14" s="1">
        <v>13</v>
      </c>
      <c r="B14" s="24" t="s">
        <v>56</v>
      </c>
      <c r="C14" s="1" t="s">
        <v>3</v>
      </c>
      <c r="D14" s="27">
        <v>20000</v>
      </c>
      <c r="E14" s="27">
        <v>0</v>
      </c>
      <c r="F14" s="27">
        <f t="shared" si="14"/>
        <v>20000</v>
      </c>
      <c r="G14" s="27">
        <v>0</v>
      </c>
      <c r="H14" s="28">
        <v>0</v>
      </c>
      <c r="I14" s="27">
        <f t="shared" si="15"/>
        <v>0</v>
      </c>
      <c r="J14" s="4">
        <v>46058</v>
      </c>
      <c r="K14" s="4">
        <v>46064</v>
      </c>
      <c r="L14" s="4"/>
      <c r="M14" s="1" t="s">
        <v>14</v>
      </c>
      <c r="O14" s="25">
        <v>280</v>
      </c>
      <c r="P14" s="25">
        <v>20</v>
      </c>
    </row>
    <row r="15" spans="1:17" x14ac:dyDescent="0.25">
      <c r="A15" s="1">
        <v>14</v>
      </c>
      <c r="B15" s="39" t="s">
        <v>26</v>
      </c>
      <c r="C15" s="40" t="s">
        <v>30</v>
      </c>
      <c r="D15" s="41">
        <v>5000</v>
      </c>
      <c r="E15" s="41">
        <v>5000</v>
      </c>
      <c r="F15" s="41">
        <f t="shared" ref="F15" si="16">(D15+I15)-E15</f>
        <v>0</v>
      </c>
      <c r="G15" s="41">
        <v>0</v>
      </c>
      <c r="H15" s="42">
        <v>0</v>
      </c>
      <c r="I15" s="41">
        <f t="shared" ref="I15" si="17">D15*H15</f>
        <v>0</v>
      </c>
      <c r="J15" s="43">
        <v>46059</v>
      </c>
      <c r="K15" s="43">
        <v>46062</v>
      </c>
      <c r="L15" s="43"/>
      <c r="M15" s="40" t="s">
        <v>73</v>
      </c>
    </row>
    <row r="16" spans="1:17" x14ac:dyDescent="0.25">
      <c r="A16" s="1">
        <v>15</v>
      </c>
      <c r="B16" s="39" t="s">
        <v>42</v>
      </c>
      <c r="C16" s="40" t="s">
        <v>52</v>
      </c>
      <c r="D16" s="41">
        <v>200000</v>
      </c>
      <c r="E16" s="41">
        <v>200000</v>
      </c>
      <c r="F16" s="41">
        <f t="shared" ref="F16:F18" si="18">(D16+I16)-E16</f>
        <v>0</v>
      </c>
      <c r="G16" s="41">
        <v>0</v>
      </c>
      <c r="H16" s="42">
        <v>0</v>
      </c>
      <c r="I16" s="41">
        <f t="shared" ref="I16:I18" si="19">D16*H16</f>
        <v>0</v>
      </c>
      <c r="J16" s="43">
        <v>46060</v>
      </c>
      <c r="K16" s="43">
        <v>46062</v>
      </c>
      <c r="L16" s="43"/>
      <c r="M16" s="40" t="s">
        <v>73</v>
      </c>
      <c r="O16" s="25" t="e">
        <f>SUM(#REF!)</f>
        <v>#REF!</v>
      </c>
    </row>
    <row r="17" spans="1:13" x14ac:dyDescent="0.25">
      <c r="A17" s="1">
        <v>16</v>
      </c>
      <c r="B17" s="39" t="s">
        <v>26</v>
      </c>
      <c r="C17" s="40" t="s">
        <v>30</v>
      </c>
      <c r="D17" s="41">
        <v>400000</v>
      </c>
      <c r="E17" s="41">
        <v>400000</v>
      </c>
      <c r="F17" s="41">
        <f t="shared" si="18"/>
        <v>0</v>
      </c>
      <c r="G17" s="41">
        <v>0</v>
      </c>
      <c r="H17" s="42">
        <v>0</v>
      </c>
      <c r="I17" s="41">
        <f t="shared" si="19"/>
        <v>0</v>
      </c>
      <c r="J17" s="43">
        <v>46060</v>
      </c>
      <c r="K17" s="43">
        <v>46066</v>
      </c>
      <c r="L17" s="43"/>
      <c r="M17" s="40" t="s">
        <v>73</v>
      </c>
    </row>
    <row r="18" spans="1:13" x14ac:dyDescent="0.25">
      <c r="A18" s="1">
        <v>17</v>
      </c>
      <c r="B18" s="24" t="s">
        <v>22</v>
      </c>
      <c r="C18" s="1" t="s">
        <v>57</v>
      </c>
      <c r="D18" s="27">
        <v>100000</v>
      </c>
      <c r="E18" s="27">
        <v>0</v>
      </c>
      <c r="F18" s="27">
        <f t="shared" si="18"/>
        <v>100000</v>
      </c>
      <c r="G18" s="27">
        <v>0</v>
      </c>
      <c r="H18" s="28">
        <v>0</v>
      </c>
      <c r="I18" s="27">
        <f t="shared" si="19"/>
        <v>0</v>
      </c>
      <c r="J18" s="4">
        <v>46060</v>
      </c>
      <c r="K18" s="4">
        <v>46066</v>
      </c>
      <c r="L18" s="4"/>
      <c r="M18" s="1" t="s">
        <v>14</v>
      </c>
    </row>
    <row r="19" spans="1:13" x14ac:dyDescent="0.25">
      <c r="A19" s="1">
        <v>18</v>
      </c>
      <c r="B19" s="24" t="s">
        <v>20</v>
      </c>
      <c r="C19" s="1" t="s">
        <v>3</v>
      </c>
      <c r="D19" s="27">
        <v>50000</v>
      </c>
      <c r="E19" s="27">
        <v>0</v>
      </c>
      <c r="F19" s="27">
        <f t="shared" ref="F19" si="20">(D19+I19)-E19</f>
        <v>50000</v>
      </c>
      <c r="G19" s="27">
        <v>0</v>
      </c>
      <c r="H19" s="28">
        <v>0</v>
      </c>
      <c r="I19" s="27">
        <f t="shared" ref="I19" si="21">D19*H19</f>
        <v>0</v>
      </c>
      <c r="J19" s="4">
        <v>46061</v>
      </c>
      <c r="K19" s="4">
        <v>46067</v>
      </c>
      <c r="L19" s="4"/>
      <c r="M19" s="1" t="s">
        <v>14</v>
      </c>
    </row>
    <row r="20" spans="1:13" x14ac:dyDescent="0.25">
      <c r="A20" s="1">
        <v>19</v>
      </c>
      <c r="B20" s="24" t="s">
        <v>22</v>
      </c>
      <c r="C20" s="1" t="s">
        <v>3</v>
      </c>
      <c r="D20" s="27">
        <v>50000</v>
      </c>
      <c r="E20" s="27">
        <v>0</v>
      </c>
      <c r="F20" s="27">
        <f t="shared" ref="F20:F21" si="22">(D20+I20)-E20</f>
        <v>50000</v>
      </c>
      <c r="G20" s="27">
        <v>0</v>
      </c>
      <c r="H20" s="28">
        <v>0</v>
      </c>
      <c r="I20" s="27">
        <f t="shared" ref="I20:I21" si="23">D20*H20</f>
        <v>0</v>
      </c>
      <c r="J20" s="4">
        <v>46061</v>
      </c>
      <c r="K20" s="4">
        <v>46067</v>
      </c>
      <c r="L20" s="4"/>
      <c r="M20" s="1" t="s">
        <v>14</v>
      </c>
    </row>
    <row r="21" spans="1:13" x14ac:dyDescent="0.25">
      <c r="A21" s="1">
        <v>20</v>
      </c>
      <c r="B21" s="24" t="s">
        <v>66</v>
      </c>
      <c r="C21" s="1" t="s">
        <v>3</v>
      </c>
      <c r="D21" s="27">
        <v>100000</v>
      </c>
      <c r="E21" s="27">
        <v>0</v>
      </c>
      <c r="F21" s="27">
        <f t="shared" si="22"/>
        <v>100000</v>
      </c>
      <c r="G21" s="27">
        <v>0</v>
      </c>
      <c r="H21" s="28">
        <v>0</v>
      </c>
      <c r="I21" s="27">
        <f t="shared" si="23"/>
        <v>0</v>
      </c>
      <c r="J21" s="4">
        <v>46061</v>
      </c>
      <c r="K21" s="4">
        <v>46067</v>
      </c>
      <c r="L21" s="4"/>
      <c r="M21" s="1" t="s">
        <v>14</v>
      </c>
    </row>
    <row r="22" spans="1:13" x14ac:dyDescent="0.25">
      <c r="A22" s="1">
        <v>21</v>
      </c>
      <c r="B22" s="24" t="s">
        <v>66</v>
      </c>
      <c r="C22" s="1" t="s">
        <v>3</v>
      </c>
      <c r="D22" s="27">
        <v>20000</v>
      </c>
      <c r="E22" s="27">
        <v>0</v>
      </c>
      <c r="F22" s="27">
        <f t="shared" ref="F22" si="24">(D22+I22)-E22</f>
        <v>20000</v>
      </c>
      <c r="G22" s="27">
        <v>0</v>
      </c>
      <c r="H22" s="28">
        <v>0</v>
      </c>
      <c r="I22" s="27">
        <f t="shared" ref="I22" si="25">D22*H22</f>
        <v>0</v>
      </c>
      <c r="J22" s="4">
        <v>46061</v>
      </c>
      <c r="K22" s="4">
        <v>46067</v>
      </c>
      <c r="L22" s="4"/>
      <c r="M22" s="1" t="s">
        <v>14</v>
      </c>
    </row>
    <row r="23" spans="1:13" x14ac:dyDescent="0.25">
      <c r="A23" s="1">
        <v>22</v>
      </c>
      <c r="B23" s="39" t="s">
        <v>21</v>
      </c>
      <c r="C23" s="40" t="s">
        <v>3</v>
      </c>
      <c r="D23" s="41">
        <v>20000</v>
      </c>
      <c r="E23" s="41">
        <v>20000</v>
      </c>
      <c r="F23" s="41">
        <f t="shared" ref="F23" si="26">(D23+I23)-E23</f>
        <v>0</v>
      </c>
      <c r="G23" s="41">
        <v>0</v>
      </c>
      <c r="H23" s="42">
        <v>0</v>
      </c>
      <c r="I23" s="41">
        <f t="shared" ref="I23" si="27">D23*H23</f>
        <v>0</v>
      </c>
      <c r="J23" s="43">
        <v>46061</v>
      </c>
      <c r="K23" s="43">
        <v>46062</v>
      </c>
      <c r="L23" s="43"/>
      <c r="M23" s="40" t="s">
        <v>73</v>
      </c>
    </row>
    <row r="24" spans="1:13" x14ac:dyDescent="0.25">
      <c r="A24" s="1">
        <v>23</v>
      </c>
      <c r="B24" s="24"/>
      <c r="C24" s="1"/>
      <c r="D24" s="27"/>
      <c r="E24" s="27"/>
      <c r="F24" s="27"/>
      <c r="G24" s="27"/>
      <c r="H24" s="28"/>
      <c r="I24" s="27"/>
      <c r="J24" s="4"/>
      <c r="K24" s="4"/>
      <c r="L24" s="4"/>
      <c r="M24" s="1"/>
    </row>
    <row r="25" spans="1:13" x14ac:dyDescent="0.25">
      <c r="A25" s="1">
        <v>24</v>
      </c>
      <c r="B25" s="24"/>
      <c r="C25" s="1"/>
      <c r="D25" s="27"/>
      <c r="E25" s="27"/>
      <c r="F25" s="27"/>
      <c r="G25" s="27"/>
      <c r="H25" s="28"/>
      <c r="I25" s="27"/>
      <c r="J25" s="4"/>
      <c r="K25" s="4"/>
      <c r="L25" s="4"/>
      <c r="M25" s="1"/>
    </row>
    <row r="26" spans="1:13" x14ac:dyDescent="0.25">
      <c r="A26" s="1">
        <v>25</v>
      </c>
      <c r="B26" s="24"/>
      <c r="C26" s="1"/>
      <c r="D26" s="27"/>
      <c r="E26" s="27"/>
      <c r="F26" s="27"/>
      <c r="G26" s="27"/>
      <c r="H26" s="28"/>
      <c r="I26" s="27"/>
      <c r="J26" s="4"/>
      <c r="K26" s="4"/>
      <c r="L26" s="4"/>
      <c r="M26" s="1"/>
    </row>
    <row r="27" spans="1:13" x14ac:dyDescent="0.25">
      <c r="A27" s="1">
        <v>26</v>
      </c>
      <c r="B27" s="24"/>
      <c r="C27" s="1"/>
      <c r="D27" s="27"/>
      <c r="E27" s="27"/>
      <c r="F27" s="27"/>
      <c r="G27" s="27"/>
      <c r="H27" s="28"/>
      <c r="I27" s="27"/>
      <c r="J27" s="4"/>
      <c r="K27" s="4"/>
      <c r="L27" s="4"/>
      <c r="M27" s="1"/>
    </row>
    <row r="28" spans="1:13" x14ac:dyDescent="0.25">
      <c r="A28" s="1">
        <v>27</v>
      </c>
      <c r="B28" s="24"/>
      <c r="C28" s="1"/>
      <c r="D28" s="27"/>
      <c r="E28" s="27"/>
      <c r="F28" s="27"/>
      <c r="G28" s="27"/>
      <c r="H28" s="28"/>
      <c r="I28" s="27"/>
      <c r="J28" s="4"/>
      <c r="K28" s="4"/>
      <c r="L28" s="4"/>
      <c r="M28" s="1"/>
    </row>
    <row r="29" spans="1:13" x14ac:dyDescent="0.25">
      <c r="A29" s="1">
        <v>28</v>
      </c>
      <c r="B29" s="24"/>
      <c r="C29" s="1"/>
      <c r="D29" s="27"/>
      <c r="E29" s="27"/>
      <c r="F29" s="27"/>
      <c r="G29" s="27"/>
      <c r="H29" s="28"/>
      <c r="I29" s="27"/>
      <c r="J29" s="4"/>
      <c r="K29" s="4"/>
      <c r="L29" s="4"/>
      <c r="M29" s="1"/>
    </row>
    <row r="30" spans="1:13" x14ac:dyDescent="0.25">
      <c r="A30" s="1">
        <v>29</v>
      </c>
      <c r="B30" s="24"/>
      <c r="C30" s="1"/>
      <c r="D30" s="36"/>
      <c r="E30" s="36"/>
      <c r="F30" s="36"/>
      <c r="G30" s="36"/>
      <c r="H30" s="24"/>
      <c r="I30" s="36"/>
      <c r="J30" s="24"/>
      <c r="K30" s="37"/>
      <c r="L30" s="37"/>
      <c r="M30" s="24"/>
    </row>
    <row r="31" spans="1:13" ht="24" x14ac:dyDescent="0.25">
      <c r="B31" s="33" t="s">
        <v>33</v>
      </c>
      <c r="C31" s="33"/>
      <c r="D31" s="47" t="s">
        <v>34</v>
      </c>
      <c r="E31" s="48"/>
      <c r="F31" s="48"/>
      <c r="G31" s="48"/>
    </row>
    <row r="32" spans="1:13" x14ac:dyDescent="0.25">
      <c r="D32" s="46" t="s">
        <v>28</v>
      </c>
      <c r="E32" s="46"/>
      <c r="F32" s="34">
        <f>SUM(D2:D30)</f>
        <v>2342000</v>
      </c>
      <c r="G32" s="35"/>
      <c r="J32" s="35"/>
    </row>
    <row r="33" spans="4:13" x14ac:dyDescent="0.25">
      <c r="D33" s="46" t="s">
        <v>29</v>
      </c>
      <c r="E33" s="46"/>
      <c r="F33" s="34">
        <f>SUM(E2:E30)</f>
        <v>1240000</v>
      </c>
      <c r="G33" s="35"/>
      <c r="M33" s="25" t="s">
        <v>41</v>
      </c>
    </row>
    <row r="34" spans="4:13" x14ac:dyDescent="0.25">
      <c r="D34" s="46" t="s">
        <v>65</v>
      </c>
      <c r="E34" s="46"/>
      <c r="F34" s="34">
        <f>F33-F32</f>
        <v>-1102000</v>
      </c>
      <c r="G34" s="35"/>
    </row>
    <row r="35" spans="4:13" x14ac:dyDescent="0.25">
      <c r="D35" s="46" t="s">
        <v>27</v>
      </c>
      <c r="E35" s="46"/>
      <c r="F35" s="34">
        <f>SUM(F2:F30)</f>
        <v>1305650</v>
      </c>
    </row>
    <row r="36" spans="4:13" x14ac:dyDescent="0.25">
      <c r="G36" s="35"/>
      <c r="J36" s="25" t="s">
        <v>75</v>
      </c>
      <c r="K36" s="25">
        <v>405</v>
      </c>
    </row>
    <row r="37" spans="4:13" x14ac:dyDescent="0.25">
      <c r="D37" s="25" t="s">
        <v>62</v>
      </c>
      <c r="E37" s="27">
        <f>150000+700000+20000+700000-875000</f>
        <v>695000</v>
      </c>
      <c r="F37" s="35"/>
      <c r="G37" s="35"/>
      <c r="H37" s="25">
        <f>1+2*2+5*3+10*25+20*4+50*3+100*5+200-20</f>
        <v>1180</v>
      </c>
      <c r="J37" s="25" t="s">
        <v>76</v>
      </c>
      <c r="K37" s="25">
        <v>20</v>
      </c>
    </row>
    <row r="38" spans="4:13" x14ac:dyDescent="0.25">
      <c r="D38" s="25" t="s">
        <v>68</v>
      </c>
      <c r="E38" s="27">
        <v>0</v>
      </c>
      <c r="F38" s="35"/>
      <c r="G38" s="35"/>
      <c r="J38" s="25" t="s">
        <v>77</v>
      </c>
      <c r="K38" s="25">
        <v>20</v>
      </c>
    </row>
    <row r="39" spans="4:13" x14ac:dyDescent="0.25">
      <c r="F39" s="35"/>
      <c r="J39" s="25" t="s">
        <v>78</v>
      </c>
      <c r="K39" s="25">
        <v>100</v>
      </c>
    </row>
    <row r="40" spans="4:13" x14ac:dyDescent="0.25">
      <c r="F40" s="38"/>
      <c r="J40" s="25" t="s">
        <v>79</v>
      </c>
      <c r="K40" s="25">
        <v>200</v>
      </c>
    </row>
    <row r="41" spans="4:13" x14ac:dyDescent="0.25">
      <c r="F41" s="35"/>
      <c r="J41" s="25" t="s">
        <v>80</v>
      </c>
      <c r="K41" s="25">
        <v>120</v>
      </c>
    </row>
    <row r="42" spans="4:13" x14ac:dyDescent="0.25">
      <c r="F42" s="35"/>
      <c r="J42" s="25" t="s">
        <v>82</v>
      </c>
      <c r="K42" s="25">
        <v>280</v>
      </c>
    </row>
    <row r="43" spans="4:13" x14ac:dyDescent="0.25">
      <c r="J43" s="25" t="s">
        <v>81</v>
      </c>
      <c r="K43" s="25">
        <v>40</v>
      </c>
    </row>
    <row r="45" spans="4:13" x14ac:dyDescent="0.25">
      <c r="F45" s="25" t="s">
        <v>74</v>
      </c>
      <c r="K45" s="25">
        <f>SUM(K36:K43)</f>
        <v>1185</v>
      </c>
    </row>
  </sheetData>
  <autoFilter ref="A1:M34" xr:uid="{B426C2E0-1FB2-4505-A56E-E149D9D304FF}"/>
  <mergeCells count="5">
    <mergeCell ref="D32:E32"/>
    <mergeCell ref="D33:E33"/>
    <mergeCell ref="D35:E35"/>
    <mergeCell ref="D31:G31"/>
    <mergeCell ref="D34:E34"/>
  </mergeCells>
  <phoneticPr fontId="1" type="noConversion"/>
  <hyperlinks>
    <hyperlink ref="D31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F336"/>
  <sheetViews>
    <sheetView topLeftCell="A250" zoomScaleNormal="100" workbookViewId="0">
      <selection activeCell="I256" sqref="I256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7.140625" style="23" bestFit="1" customWidth="1"/>
    <col min="6" max="6" width="13.140625" bestFit="1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57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57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51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58</v>
      </c>
    </row>
    <row r="128" spans="1:4" ht="18.75" x14ac:dyDescent="0.25">
      <c r="A128" s="21">
        <v>46022</v>
      </c>
      <c r="B128" s="19" t="s">
        <v>56</v>
      </c>
      <c r="C128" s="20">
        <v>20000</v>
      </c>
      <c r="D128" s="22" t="s">
        <v>49</v>
      </c>
    </row>
    <row r="129" spans="1:4" ht="18.75" x14ac:dyDescent="0.25">
      <c r="A129" s="21">
        <v>46023</v>
      </c>
      <c r="B129" s="19" t="s">
        <v>8</v>
      </c>
      <c r="C129" s="20">
        <v>20000</v>
      </c>
      <c r="D129" s="22" t="s">
        <v>3</v>
      </c>
    </row>
    <row r="130" spans="1:4" ht="18.75" x14ac:dyDescent="0.25">
      <c r="A130" s="21">
        <v>46023</v>
      </c>
      <c r="B130" s="19" t="s">
        <v>26</v>
      </c>
      <c r="C130" s="20">
        <v>500000</v>
      </c>
      <c r="D130" s="22" t="s">
        <v>30</v>
      </c>
    </row>
    <row r="131" spans="1:4" ht="18.75" x14ac:dyDescent="0.25">
      <c r="A131" s="21">
        <v>46023</v>
      </c>
      <c r="B131" s="19" t="s">
        <v>26</v>
      </c>
      <c r="C131" s="20">
        <v>20000</v>
      </c>
      <c r="D131" s="22" t="s">
        <v>43</v>
      </c>
    </row>
    <row r="132" spans="1:4" ht="18.75" x14ac:dyDescent="0.25">
      <c r="A132" s="21">
        <v>46023</v>
      </c>
      <c r="B132" s="19" t="s">
        <v>40</v>
      </c>
      <c r="C132" s="20">
        <v>200000</v>
      </c>
      <c r="D132" s="22" t="s">
        <v>3</v>
      </c>
    </row>
    <row r="133" spans="1:4" ht="18.75" x14ac:dyDescent="0.25">
      <c r="A133" s="21">
        <v>46023</v>
      </c>
      <c r="B133" s="19" t="s">
        <v>21</v>
      </c>
      <c r="C133" s="20">
        <v>100000</v>
      </c>
      <c r="D133" s="22" t="s">
        <v>30</v>
      </c>
    </row>
    <row r="134" spans="1:4" ht="18.75" x14ac:dyDescent="0.25">
      <c r="A134" s="21">
        <v>46023</v>
      </c>
      <c r="B134" s="19" t="s">
        <v>21</v>
      </c>
      <c r="C134" s="20">
        <v>15000</v>
      </c>
      <c r="D134" s="22" t="s">
        <v>30</v>
      </c>
    </row>
    <row r="135" spans="1:4" ht="18.75" x14ac:dyDescent="0.25">
      <c r="A135" s="21">
        <v>46024</v>
      </c>
      <c r="B135" s="19" t="s">
        <v>36</v>
      </c>
      <c r="C135" s="20">
        <v>20000</v>
      </c>
      <c r="D135" s="22" t="s">
        <v>30</v>
      </c>
    </row>
    <row r="136" spans="1:4" ht="18.75" x14ac:dyDescent="0.25">
      <c r="A136" s="21">
        <v>46024</v>
      </c>
      <c r="B136" s="19" t="s">
        <v>17</v>
      </c>
      <c r="C136" s="20">
        <v>75000</v>
      </c>
      <c r="D136" s="22" t="s">
        <v>57</v>
      </c>
    </row>
    <row r="137" spans="1:4" ht="18.75" x14ac:dyDescent="0.25">
      <c r="A137" s="21">
        <v>46024</v>
      </c>
      <c r="B137" s="19" t="s">
        <v>42</v>
      </c>
      <c r="C137" s="20">
        <v>20000</v>
      </c>
      <c r="D137" s="22" t="s">
        <v>24</v>
      </c>
    </row>
    <row r="138" spans="1:4" ht="18.75" x14ac:dyDescent="0.25">
      <c r="A138" s="21">
        <v>46024</v>
      </c>
      <c r="B138" s="19" t="s">
        <v>22</v>
      </c>
      <c r="C138" s="20">
        <v>20000</v>
      </c>
      <c r="D138" s="22" t="s">
        <v>3</v>
      </c>
    </row>
    <row r="139" spans="1:4" ht="18.75" x14ac:dyDescent="0.25">
      <c r="A139" s="21">
        <v>46025</v>
      </c>
      <c r="B139" s="19" t="s">
        <v>8</v>
      </c>
      <c r="C139" s="20">
        <v>60000</v>
      </c>
      <c r="D139" s="22" t="s">
        <v>3</v>
      </c>
    </row>
    <row r="140" spans="1:4" ht="18.75" x14ac:dyDescent="0.25">
      <c r="A140" s="21">
        <v>46026</v>
      </c>
      <c r="B140" s="19" t="s">
        <v>36</v>
      </c>
      <c r="C140" s="20">
        <v>80000</v>
      </c>
      <c r="D140" s="22" t="s">
        <v>30</v>
      </c>
    </row>
    <row r="141" spans="1:4" ht="18.75" x14ac:dyDescent="0.25">
      <c r="A141" s="21">
        <v>46027</v>
      </c>
      <c r="B141" s="19" t="s">
        <v>20</v>
      </c>
      <c r="C141" s="20">
        <v>100000</v>
      </c>
      <c r="D141" s="22" t="s">
        <v>3</v>
      </c>
    </row>
    <row r="142" spans="1:4" ht="18.75" x14ac:dyDescent="0.25">
      <c r="A142" s="21">
        <v>46028</v>
      </c>
      <c r="B142" s="19" t="s">
        <v>19</v>
      </c>
      <c r="C142" s="20">
        <v>170000</v>
      </c>
      <c r="D142" s="22" t="s">
        <v>16</v>
      </c>
    </row>
    <row r="143" spans="1:4" ht="18.75" x14ac:dyDescent="0.25">
      <c r="A143" s="21">
        <v>46029</v>
      </c>
      <c r="B143" s="19" t="s">
        <v>19</v>
      </c>
      <c r="C143" s="20">
        <v>100000</v>
      </c>
      <c r="D143" s="22" t="s">
        <v>16</v>
      </c>
    </row>
    <row r="144" spans="1:4" ht="18.75" x14ac:dyDescent="0.25">
      <c r="A144" s="21">
        <v>46030</v>
      </c>
      <c r="B144" s="19" t="s">
        <v>36</v>
      </c>
      <c r="C144" s="20">
        <v>20000</v>
      </c>
      <c r="D144" s="22" t="s">
        <v>30</v>
      </c>
    </row>
    <row r="145" spans="1:4" ht="18.75" x14ac:dyDescent="0.25">
      <c r="A145" s="21">
        <v>46030</v>
      </c>
      <c r="B145" s="19" t="s">
        <v>17</v>
      </c>
      <c r="C145" s="20">
        <v>50000</v>
      </c>
      <c r="D145" s="22" t="s">
        <v>57</v>
      </c>
    </row>
    <row r="146" spans="1:4" ht="18.75" x14ac:dyDescent="0.25">
      <c r="A146" s="21">
        <v>46030</v>
      </c>
      <c r="B146" s="19" t="s">
        <v>56</v>
      </c>
      <c r="C146" s="20">
        <v>20000</v>
      </c>
      <c r="D146" s="22" t="s">
        <v>3</v>
      </c>
    </row>
    <row r="147" spans="1:4" ht="18.75" x14ac:dyDescent="0.25">
      <c r="A147" s="21">
        <v>46030</v>
      </c>
      <c r="B147" s="19" t="s">
        <v>42</v>
      </c>
      <c r="C147" s="20">
        <v>20000</v>
      </c>
      <c r="D147" s="22" t="s">
        <v>24</v>
      </c>
    </row>
    <row r="148" spans="1:4" ht="18.75" x14ac:dyDescent="0.25">
      <c r="A148" s="21">
        <v>46031</v>
      </c>
      <c r="B148" s="19" t="s">
        <v>19</v>
      </c>
      <c r="C148" s="20">
        <v>150000</v>
      </c>
      <c r="D148" s="22" t="s">
        <v>16</v>
      </c>
    </row>
    <row r="149" spans="1:4" ht="18.75" x14ac:dyDescent="0.25">
      <c r="A149" s="21">
        <v>46031</v>
      </c>
      <c r="B149" s="19" t="s">
        <v>22</v>
      </c>
      <c r="C149" s="20">
        <v>50000</v>
      </c>
      <c r="D149" s="22" t="s">
        <v>3</v>
      </c>
    </row>
    <row r="150" spans="1:4" ht="18.75" x14ac:dyDescent="0.25">
      <c r="A150" s="21">
        <v>46031</v>
      </c>
      <c r="B150" s="19" t="s">
        <v>20</v>
      </c>
      <c r="C150" s="20">
        <v>20000</v>
      </c>
      <c r="D150" s="22" t="s">
        <v>3</v>
      </c>
    </row>
    <row r="151" spans="1:4" ht="18.75" x14ac:dyDescent="0.25">
      <c r="A151" s="21">
        <v>46031</v>
      </c>
      <c r="B151" s="19" t="s">
        <v>8</v>
      </c>
      <c r="C151" s="20">
        <v>20000</v>
      </c>
      <c r="D151" s="22" t="s">
        <v>3</v>
      </c>
    </row>
    <row r="152" spans="1:4" ht="18.75" x14ac:dyDescent="0.25">
      <c r="A152" s="21">
        <v>46031</v>
      </c>
      <c r="B152" s="19" t="s">
        <v>55</v>
      </c>
      <c r="C152" s="20">
        <v>60000</v>
      </c>
      <c r="D152" s="22" t="s">
        <v>3</v>
      </c>
    </row>
    <row r="153" spans="1:4" ht="18.75" x14ac:dyDescent="0.25">
      <c r="A153" s="21">
        <v>46031</v>
      </c>
      <c r="B153" s="19" t="s">
        <v>61</v>
      </c>
      <c r="C153" s="20">
        <v>20000</v>
      </c>
      <c r="D153" s="22" t="s">
        <v>3</v>
      </c>
    </row>
    <row r="154" spans="1:4" ht="18.75" x14ac:dyDescent="0.25">
      <c r="A154" s="21">
        <v>46032</v>
      </c>
      <c r="B154" s="19" t="s">
        <v>22</v>
      </c>
      <c r="C154" s="20">
        <v>20000</v>
      </c>
      <c r="D154" s="22" t="s">
        <v>24</v>
      </c>
    </row>
    <row r="155" spans="1:4" ht="18.75" x14ac:dyDescent="0.25">
      <c r="A155" s="21">
        <v>46033</v>
      </c>
      <c r="B155" s="19" t="s">
        <v>22</v>
      </c>
      <c r="C155" s="20">
        <v>100000</v>
      </c>
      <c r="D155" s="22" t="s">
        <v>3</v>
      </c>
    </row>
    <row r="156" spans="1:4" ht="18.75" x14ac:dyDescent="0.25">
      <c r="A156" s="21">
        <v>46033</v>
      </c>
      <c r="B156" s="19" t="s">
        <v>19</v>
      </c>
      <c r="C156" s="20">
        <v>500000</v>
      </c>
      <c r="D156" s="22" t="s">
        <v>16</v>
      </c>
    </row>
    <row r="157" spans="1:4" ht="18.75" x14ac:dyDescent="0.25">
      <c r="A157" s="21">
        <v>46033</v>
      </c>
      <c r="B157" s="19" t="s">
        <v>8</v>
      </c>
      <c r="C157" s="20">
        <v>20000</v>
      </c>
      <c r="D157" s="22" t="s">
        <v>3</v>
      </c>
    </row>
    <row r="158" spans="1:4" ht="18.75" x14ac:dyDescent="0.25">
      <c r="A158" s="21">
        <v>46034</v>
      </c>
      <c r="B158" s="19" t="s">
        <v>19</v>
      </c>
      <c r="C158" s="20">
        <v>50000</v>
      </c>
      <c r="D158" s="22" t="s">
        <v>16</v>
      </c>
    </row>
    <row r="159" spans="1:4" ht="18.75" x14ac:dyDescent="0.25">
      <c r="A159" s="21">
        <v>46035</v>
      </c>
      <c r="B159" s="19" t="s">
        <v>19</v>
      </c>
      <c r="C159" s="20">
        <v>50000</v>
      </c>
      <c r="D159" s="22" t="s">
        <v>16</v>
      </c>
    </row>
    <row r="160" spans="1:4" ht="18.75" x14ac:dyDescent="0.25">
      <c r="A160" s="21">
        <v>46035</v>
      </c>
      <c r="B160" s="19" t="s">
        <v>19</v>
      </c>
      <c r="C160" s="20">
        <v>20000</v>
      </c>
      <c r="D160" s="22" t="s">
        <v>16</v>
      </c>
    </row>
    <row r="161" spans="1:4" ht="18.75" x14ac:dyDescent="0.25">
      <c r="A161" s="21">
        <v>46035</v>
      </c>
      <c r="B161" s="19" t="s">
        <v>20</v>
      </c>
      <c r="C161" s="20">
        <v>20000</v>
      </c>
      <c r="D161" s="22" t="s">
        <v>24</v>
      </c>
    </row>
    <row r="162" spans="1:4" ht="18.75" x14ac:dyDescent="0.25">
      <c r="A162" s="21">
        <v>46035</v>
      </c>
      <c r="B162" s="19" t="s">
        <v>55</v>
      </c>
      <c r="C162" s="20">
        <v>20000</v>
      </c>
      <c r="D162" s="22" t="s">
        <v>3</v>
      </c>
    </row>
    <row r="163" spans="1:4" ht="18.75" x14ac:dyDescent="0.25">
      <c r="A163" s="21">
        <v>46035</v>
      </c>
      <c r="B163" s="19" t="s">
        <v>36</v>
      </c>
      <c r="C163" s="20">
        <v>20000</v>
      </c>
      <c r="D163" s="22" t="s">
        <v>24</v>
      </c>
    </row>
    <row r="164" spans="1:4" ht="18.75" x14ac:dyDescent="0.25">
      <c r="A164" s="21">
        <v>46036</v>
      </c>
      <c r="B164" s="19" t="s">
        <v>20</v>
      </c>
      <c r="C164" s="20">
        <v>20000</v>
      </c>
      <c r="D164" s="22" t="s">
        <v>49</v>
      </c>
    </row>
    <row r="165" spans="1:4" ht="18.75" x14ac:dyDescent="0.25">
      <c r="A165" s="21">
        <v>46036</v>
      </c>
      <c r="B165" s="19" t="s">
        <v>19</v>
      </c>
      <c r="C165" s="20">
        <v>50000</v>
      </c>
      <c r="D165" s="22" t="s">
        <v>16</v>
      </c>
    </row>
    <row r="166" spans="1:4" ht="18.75" x14ac:dyDescent="0.25">
      <c r="A166" s="21">
        <v>46037</v>
      </c>
      <c r="B166" s="19" t="s">
        <v>20</v>
      </c>
      <c r="C166" s="20">
        <v>120000</v>
      </c>
      <c r="D166" s="22" t="s">
        <v>3</v>
      </c>
    </row>
    <row r="167" spans="1:4" ht="18.75" x14ac:dyDescent="0.25">
      <c r="A167" s="21">
        <v>46037</v>
      </c>
      <c r="B167" s="19" t="s">
        <v>8</v>
      </c>
      <c r="C167" s="20">
        <v>130000</v>
      </c>
      <c r="D167" s="22" t="s">
        <v>3</v>
      </c>
    </row>
    <row r="168" spans="1:4" ht="18.75" x14ac:dyDescent="0.25">
      <c r="A168" s="21">
        <v>46037</v>
      </c>
      <c r="B168" s="19" t="s">
        <v>56</v>
      </c>
      <c r="C168" s="20">
        <v>50000</v>
      </c>
      <c r="D168" s="22" t="s">
        <v>3</v>
      </c>
    </row>
    <row r="169" spans="1:4" ht="18.75" x14ac:dyDescent="0.25">
      <c r="A169" s="21">
        <v>46037</v>
      </c>
      <c r="B169" s="19" t="s">
        <v>22</v>
      </c>
      <c r="C169" s="20">
        <v>100000</v>
      </c>
      <c r="D169" s="22" t="s">
        <v>3</v>
      </c>
    </row>
    <row r="170" spans="1:4" ht="18.75" x14ac:dyDescent="0.25">
      <c r="A170" s="21">
        <v>46038</v>
      </c>
      <c r="B170" s="19" t="s">
        <v>56</v>
      </c>
      <c r="C170" s="20">
        <v>50000</v>
      </c>
      <c r="D170" s="22" t="s">
        <v>3</v>
      </c>
    </row>
    <row r="171" spans="1:4" ht="18.75" x14ac:dyDescent="0.25">
      <c r="A171" s="21">
        <v>46040</v>
      </c>
      <c r="B171" s="19" t="s">
        <v>26</v>
      </c>
      <c r="C171" s="20">
        <v>10000</v>
      </c>
      <c r="D171" s="22" t="s">
        <v>30</v>
      </c>
    </row>
    <row r="172" spans="1:4" ht="18.75" x14ac:dyDescent="0.25">
      <c r="A172" s="21">
        <v>46041</v>
      </c>
      <c r="B172" s="19" t="s">
        <v>36</v>
      </c>
      <c r="C172" s="20">
        <v>20000</v>
      </c>
      <c r="D172" s="22" t="s">
        <v>3</v>
      </c>
    </row>
    <row r="173" spans="1:4" ht="18.75" x14ac:dyDescent="0.25">
      <c r="A173" s="21">
        <v>46041</v>
      </c>
      <c r="B173" s="19" t="s">
        <v>22</v>
      </c>
      <c r="C173" s="20">
        <v>100000</v>
      </c>
      <c r="D173" s="22" t="s">
        <v>57</v>
      </c>
    </row>
    <row r="174" spans="1:4" ht="18.75" x14ac:dyDescent="0.25">
      <c r="A174" s="21">
        <v>46041</v>
      </c>
      <c r="B174" s="19" t="s">
        <v>26</v>
      </c>
      <c r="C174" s="20">
        <v>300000</v>
      </c>
      <c r="D174" s="22" t="s">
        <v>30</v>
      </c>
    </row>
    <row r="175" spans="1:4" ht="18.75" x14ac:dyDescent="0.25">
      <c r="A175" s="21">
        <v>46041</v>
      </c>
      <c r="B175" s="19" t="s">
        <v>22</v>
      </c>
      <c r="C175" s="20">
        <v>100000</v>
      </c>
      <c r="D175" s="22" t="s">
        <v>52</v>
      </c>
    </row>
    <row r="176" spans="1:4" ht="18.75" x14ac:dyDescent="0.25">
      <c r="A176" s="21">
        <v>46041</v>
      </c>
      <c r="B176" s="19" t="s">
        <v>26</v>
      </c>
      <c r="C176" s="20">
        <v>100000</v>
      </c>
      <c r="D176" s="22" t="s">
        <v>30</v>
      </c>
    </row>
    <row r="177" spans="1:4" ht="18.75" x14ac:dyDescent="0.25">
      <c r="A177" s="21">
        <v>46041</v>
      </c>
      <c r="B177" s="19" t="s">
        <v>21</v>
      </c>
      <c r="C177" s="20">
        <v>100000</v>
      </c>
      <c r="D177" s="22" t="s">
        <v>30</v>
      </c>
    </row>
    <row r="178" spans="1:4" ht="18.75" x14ac:dyDescent="0.25">
      <c r="A178" s="21">
        <v>46041</v>
      </c>
      <c r="B178" s="19" t="s">
        <v>22</v>
      </c>
      <c r="C178" s="20">
        <v>20000</v>
      </c>
      <c r="D178" s="22" t="s">
        <v>52</v>
      </c>
    </row>
    <row r="179" spans="1:4" ht="18.75" x14ac:dyDescent="0.25">
      <c r="A179" s="21">
        <v>46041</v>
      </c>
      <c r="B179" s="19" t="s">
        <v>63</v>
      </c>
      <c r="C179" s="20">
        <v>20000</v>
      </c>
      <c r="D179" s="22" t="s">
        <v>3</v>
      </c>
    </row>
    <row r="180" spans="1:4" ht="18.75" x14ac:dyDescent="0.25">
      <c r="A180" s="21">
        <v>46041</v>
      </c>
      <c r="B180" s="19" t="s">
        <v>20</v>
      </c>
      <c r="C180" s="20">
        <v>20000</v>
      </c>
      <c r="D180" s="22" t="s">
        <v>24</v>
      </c>
    </row>
    <row r="181" spans="1:4" ht="18.75" x14ac:dyDescent="0.25">
      <c r="A181" s="21">
        <v>46042</v>
      </c>
      <c r="B181" s="19" t="s">
        <v>22</v>
      </c>
      <c r="C181" s="20">
        <v>20000</v>
      </c>
      <c r="D181" s="22" t="s">
        <v>3</v>
      </c>
    </row>
    <row r="182" spans="1:4" ht="18.75" x14ac:dyDescent="0.25">
      <c r="A182" s="21">
        <v>46042</v>
      </c>
      <c r="B182" s="19" t="s">
        <v>22</v>
      </c>
      <c r="C182" s="20">
        <v>20000</v>
      </c>
      <c r="D182" s="22" t="s">
        <v>52</v>
      </c>
    </row>
    <row r="183" spans="1:4" ht="18.75" x14ac:dyDescent="0.25">
      <c r="A183" s="21">
        <v>46042</v>
      </c>
      <c r="B183" s="19" t="s">
        <v>22</v>
      </c>
      <c r="C183" s="20">
        <v>50000</v>
      </c>
      <c r="D183" s="22" t="s">
        <v>3</v>
      </c>
    </row>
    <row r="184" spans="1:4" ht="18.75" x14ac:dyDescent="0.25">
      <c r="A184" s="21">
        <v>46042</v>
      </c>
      <c r="B184" s="19" t="s">
        <v>20</v>
      </c>
      <c r="C184" s="20">
        <v>100000</v>
      </c>
      <c r="D184" s="22" t="s">
        <v>3</v>
      </c>
    </row>
    <row r="185" spans="1:4" ht="18.75" x14ac:dyDescent="0.25">
      <c r="A185" s="21">
        <v>46043</v>
      </c>
      <c r="B185" s="19" t="s">
        <v>26</v>
      </c>
      <c r="C185" s="20">
        <v>5000</v>
      </c>
      <c r="D185" s="22" t="s">
        <v>30</v>
      </c>
    </row>
    <row r="186" spans="1:4" ht="18.75" x14ac:dyDescent="0.25">
      <c r="A186" s="21">
        <v>46043</v>
      </c>
      <c r="B186" s="19" t="s">
        <v>39</v>
      </c>
      <c r="C186" s="20">
        <v>150000</v>
      </c>
      <c r="D186" s="22" t="s">
        <v>30</v>
      </c>
    </row>
    <row r="187" spans="1:4" ht="18.75" x14ac:dyDescent="0.25">
      <c r="A187" s="21">
        <v>46043</v>
      </c>
      <c r="B187" s="19" t="s">
        <v>39</v>
      </c>
      <c r="C187" s="20">
        <v>150000</v>
      </c>
      <c r="D187" s="22" t="s">
        <v>30</v>
      </c>
    </row>
    <row r="188" spans="1:4" ht="18.75" x14ac:dyDescent="0.25">
      <c r="A188" s="21">
        <v>46043</v>
      </c>
      <c r="B188" s="19" t="s">
        <v>25</v>
      </c>
      <c r="C188" s="20">
        <v>190000</v>
      </c>
      <c r="D188" s="22" t="s">
        <v>57</v>
      </c>
    </row>
    <row r="189" spans="1:4" ht="18.75" x14ac:dyDescent="0.25">
      <c r="A189" s="21">
        <v>46043</v>
      </c>
      <c r="B189" s="19" t="s">
        <v>42</v>
      </c>
      <c r="C189" s="20">
        <v>50000</v>
      </c>
      <c r="D189" s="22" t="s">
        <v>3</v>
      </c>
    </row>
    <row r="190" spans="1:4" ht="18.75" x14ac:dyDescent="0.25">
      <c r="A190" s="21">
        <v>46043</v>
      </c>
      <c r="B190" s="19" t="s">
        <v>64</v>
      </c>
      <c r="C190" s="20">
        <v>50000</v>
      </c>
      <c r="D190" s="22" t="s">
        <v>16</v>
      </c>
    </row>
    <row r="191" spans="1:4" ht="18.75" x14ac:dyDescent="0.25">
      <c r="A191" s="21">
        <v>46043</v>
      </c>
      <c r="B191" s="19" t="s">
        <v>26</v>
      </c>
      <c r="C191" s="20">
        <v>500000</v>
      </c>
      <c r="D191" s="22" t="s">
        <v>30</v>
      </c>
    </row>
    <row r="192" spans="1:4" ht="18.75" x14ac:dyDescent="0.25">
      <c r="A192" s="21">
        <v>46043</v>
      </c>
      <c r="B192" s="19" t="s">
        <v>26</v>
      </c>
      <c r="C192" s="20">
        <v>10000</v>
      </c>
      <c r="D192" s="22" t="s">
        <v>30</v>
      </c>
    </row>
    <row r="193" spans="1:4" ht="18.75" x14ac:dyDescent="0.25">
      <c r="A193" s="21">
        <v>46043</v>
      </c>
      <c r="B193" s="19" t="s">
        <v>26</v>
      </c>
      <c r="C193" s="20">
        <v>10000</v>
      </c>
      <c r="D193" s="22" t="s">
        <v>24</v>
      </c>
    </row>
    <row r="194" spans="1:4" ht="18.75" x14ac:dyDescent="0.25">
      <c r="A194" s="21">
        <v>46043</v>
      </c>
      <c r="B194" s="19" t="s">
        <v>66</v>
      </c>
      <c r="C194" s="20">
        <v>20000</v>
      </c>
      <c r="D194" s="22" t="s">
        <v>3</v>
      </c>
    </row>
    <row r="195" spans="1:4" ht="18.75" x14ac:dyDescent="0.25">
      <c r="A195" s="21">
        <v>46044</v>
      </c>
      <c r="B195" s="19" t="s">
        <v>19</v>
      </c>
      <c r="C195" s="20">
        <v>220000</v>
      </c>
      <c r="D195" s="22" t="s">
        <v>67</v>
      </c>
    </row>
    <row r="196" spans="1:4" ht="18.75" x14ac:dyDescent="0.25">
      <c r="A196" s="21">
        <v>46044</v>
      </c>
      <c r="B196" s="19" t="s">
        <v>19</v>
      </c>
      <c r="C196" s="20">
        <v>220000</v>
      </c>
      <c r="D196" s="22" t="s">
        <v>67</v>
      </c>
    </row>
    <row r="197" spans="1:4" ht="18.75" x14ac:dyDescent="0.25">
      <c r="A197" s="21">
        <v>46044</v>
      </c>
      <c r="B197" s="19" t="s">
        <v>66</v>
      </c>
      <c r="C197" s="20">
        <v>120000</v>
      </c>
      <c r="D197" s="22" t="s">
        <v>3</v>
      </c>
    </row>
    <row r="198" spans="1:4" ht="18.75" x14ac:dyDescent="0.25">
      <c r="A198" s="21">
        <v>46045</v>
      </c>
      <c r="B198" s="19" t="s">
        <v>17</v>
      </c>
      <c r="C198" s="20">
        <v>100000</v>
      </c>
      <c r="D198" s="22" t="s">
        <v>57</v>
      </c>
    </row>
    <row r="199" spans="1:4" ht="18.75" x14ac:dyDescent="0.25">
      <c r="A199" s="21">
        <v>46045</v>
      </c>
      <c r="B199" s="19" t="s">
        <v>19</v>
      </c>
      <c r="C199" s="20">
        <v>50000</v>
      </c>
      <c r="D199" s="22" t="s">
        <v>16</v>
      </c>
    </row>
    <row r="200" spans="1:4" ht="18.75" x14ac:dyDescent="0.25">
      <c r="A200" s="21">
        <v>46045</v>
      </c>
      <c r="B200" s="19" t="s">
        <v>19</v>
      </c>
      <c r="C200" s="20">
        <v>50000</v>
      </c>
      <c r="D200" s="22" t="s">
        <v>16</v>
      </c>
    </row>
    <row r="201" spans="1:4" ht="18.75" x14ac:dyDescent="0.25">
      <c r="A201" s="21">
        <v>46045</v>
      </c>
      <c r="B201" s="19" t="s">
        <v>26</v>
      </c>
      <c r="C201" s="20">
        <v>100000</v>
      </c>
      <c r="D201" s="22" t="s">
        <v>30</v>
      </c>
    </row>
    <row r="202" spans="1:4" ht="18.75" x14ac:dyDescent="0.25">
      <c r="A202" s="21">
        <v>46045</v>
      </c>
      <c r="B202" s="19" t="s">
        <v>17</v>
      </c>
      <c r="C202" s="20">
        <v>60000</v>
      </c>
      <c r="D202" s="22" t="s">
        <v>57</v>
      </c>
    </row>
    <row r="203" spans="1:4" ht="18.75" x14ac:dyDescent="0.25">
      <c r="A203" s="21">
        <v>46045</v>
      </c>
      <c r="B203" s="19" t="s">
        <v>66</v>
      </c>
      <c r="C203" s="20">
        <v>200000</v>
      </c>
      <c r="D203" s="22" t="s">
        <v>3</v>
      </c>
    </row>
    <row r="204" spans="1:4" ht="18.75" x14ac:dyDescent="0.25">
      <c r="A204" s="21">
        <v>46046</v>
      </c>
      <c r="B204" s="19" t="s">
        <v>21</v>
      </c>
      <c r="C204" s="20">
        <v>100000</v>
      </c>
      <c r="D204" s="22" t="s">
        <v>30</v>
      </c>
    </row>
    <row r="205" spans="1:4" ht="18.75" x14ac:dyDescent="0.25">
      <c r="A205" s="21">
        <v>46046</v>
      </c>
      <c r="B205" s="19" t="s">
        <v>36</v>
      </c>
      <c r="C205" s="20">
        <v>20000</v>
      </c>
      <c r="D205" s="22" t="s">
        <v>3</v>
      </c>
    </row>
    <row r="206" spans="1:4" ht="18.75" x14ac:dyDescent="0.25">
      <c r="A206" s="21">
        <v>46047</v>
      </c>
      <c r="B206" s="19" t="s">
        <v>19</v>
      </c>
      <c r="C206" s="20">
        <v>200000</v>
      </c>
      <c r="D206" s="22" t="s">
        <v>16</v>
      </c>
    </row>
    <row r="207" spans="1:4" ht="18.75" x14ac:dyDescent="0.25">
      <c r="A207" s="21">
        <v>46047</v>
      </c>
      <c r="B207" s="19" t="s">
        <v>64</v>
      </c>
      <c r="C207" s="20">
        <v>100000</v>
      </c>
      <c r="D207" s="22" t="s">
        <v>16</v>
      </c>
    </row>
    <row r="208" spans="1:4" ht="18.75" x14ac:dyDescent="0.25">
      <c r="A208" s="21">
        <v>46047</v>
      </c>
      <c r="B208" s="19" t="s">
        <v>15</v>
      </c>
      <c r="C208" s="20">
        <v>50000</v>
      </c>
      <c r="D208" s="22" t="s">
        <v>30</v>
      </c>
    </row>
    <row r="209" spans="1:4" ht="18.75" x14ac:dyDescent="0.25">
      <c r="A209" s="21">
        <v>46048</v>
      </c>
      <c r="B209" s="19" t="s">
        <v>64</v>
      </c>
      <c r="C209" s="20">
        <v>100000</v>
      </c>
      <c r="D209" s="22" t="s">
        <v>16</v>
      </c>
    </row>
    <row r="210" spans="1:4" ht="18.75" x14ac:dyDescent="0.25">
      <c r="A210" s="21">
        <v>46049</v>
      </c>
      <c r="B210" s="19" t="s">
        <v>25</v>
      </c>
      <c r="C210" s="20">
        <v>260000</v>
      </c>
      <c r="D210" s="22" t="s">
        <v>57</v>
      </c>
    </row>
    <row r="211" spans="1:4" ht="18.75" x14ac:dyDescent="0.25">
      <c r="A211" s="21">
        <v>46049</v>
      </c>
      <c r="B211" s="19" t="s">
        <v>20</v>
      </c>
      <c r="C211" s="20">
        <v>20000</v>
      </c>
      <c r="D211" s="22" t="s">
        <v>24</v>
      </c>
    </row>
    <row r="212" spans="1:4" ht="18.75" x14ac:dyDescent="0.25">
      <c r="A212" s="21">
        <v>46049</v>
      </c>
      <c r="B212" s="19" t="s">
        <v>20</v>
      </c>
      <c r="C212" s="20">
        <v>10000</v>
      </c>
      <c r="D212" s="22" t="s">
        <v>24</v>
      </c>
    </row>
    <row r="213" spans="1:4" ht="18.75" x14ac:dyDescent="0.25">
      <c r="A213" s="21">
        <v>46049</v>
      </c>
      <c r="B213" s="19" t="s">
        <v>69</v>
      </c>
      <c r="C213" s="20">
        <v>100000</v>
      </c>
      <c r="D213" s="22" t="s">
        <v>30</v>
      </c>
    </row>
    <row r="214" spans="1:4" ht="18.75" x14ac:dyDescent="0.25">
      <c r="A214" s="21">
        <v>46049</v>
      </c>
      <c r="B214" s="19" t="s">
        <v>66</v>
      </c>
      <c r="C214" s="20">
        <v>20000</v>
      </c>
      <c r="D214" s="22" t="s">
        <v>3</v>
      </c>
    </row>
    <row r="215" spans="1:4" ht="18.75" x14ac:dyDescent="0.25">
      <c r="A215" s="21">
        <v>46049</v>
      </c>
      <c r="B215" s="19" t="s">
        <v>39</v>
      </c>
      <c r="C215" s="20">
        <v>100000</v>
      </c>
      <c r="D215" s="22" t="s">
        <v>30</v>
      </c>
    </row>
    <row r="216" spans="1:4" ht="18.75" x14ac:dyDescent="0.25">
      <c r="A216" s="21">
        <v>46049</v>
      </c>
      <c r="B216" s="19" t="s">
        <v>39</v>
      </c>
      <c r="C216" s="20">
        <v>10000</v>
      </c>
      <c r="D216" s="22" t="s">
        <v>30</v>
      </c>
    </row>
    <row r="217" spans="1:4" ht="18.75" x14ac:dyDescent="0.25">
      <c r="A217" s="21">
        <v>46050</v>
      </c>
      <c r="B217" s="19" t="s">
        <v>66</v>
      </c>
      <c r="C217" s="20">
        <v>20000</v>
      </c>
      <c r="D217" s="22" t="s">
        <v>3</v>
      </c>
    </row>
    <row r="218" spans="1:4" ht="18.75" x14ac:dyDescent="0.25">
      <c r="A218" s="21">
        <v>46050</v>
      </c>
      <c r="B218" s="19" t="s">
        <v>25</v>
      </c>
      <c r="C218" s="20">
        <v>40000</v>
      </c>
      <c r="D218" s="22" t="s">
        <v>57</v>
      </c>
    </row>
    <row r="219" spans="1:4" ht="18.75" x14ac:dyDescent="0.25">
      <c r="A219" s="21">
        <v>46050</v>
      </c>
      <c r="B219" s="19" t="s">
        <v>70</v>
      </c>
      <c r="C219" s="20">
        <v>180000</v>
      </c>
      <c r="D219" s="22" t="s">
        <v>30</v>
      </c>
    </row>
    <row r="220" spans="1:4" ht="18.75" x14ac:dyDescent="0.25">
      <c r="A220" s="21">
        <v>46051</v>
      </c>
      <c r="B220" s="19" t="s">
        <v>21</v>
      </c>
      <c r="C220" s="20">
        <v>20000</v>
      </c>
      <c r="D220" s="22" t="s">
        <v>3</v>
      </c>
    </row>
    <row r="221" spans="1:4" ht="18.75" x14ac:dyDescent="0.25">
      <c r="A221" s="21">
        <v>46051</v>
      </c>
      <c r="B221" s="19" t="s">
        <v>71</v>
      </c>
      <c r="C221" s="20">
        <v>50000</v>
      </c>
      <c r="D221" s="22" t="s">
        <v>30</v>
      </c>
    </row>
    <row r="222" spans="1:4" ht="18.75" x14ac:dyDescent="0.25">
      <c r="A222" s="21">
        <v>46051</v>
      </c>
      <c r="B222" s="19" t="s">
        <v>39</v>
      </c>
      <c r="C222" s="20">
        <v>180000</v>
      </c>
      <c r="D222" s="22" t="s">
        <v>30</v>
      </c>
    </row>
    <row r="223" spans="1:4" ht="18.75" x14ac:dyDescent="0.25">
      <c r="A223" s="21">
        <v>46051</v>
      </c>
      <c r="B223" s="19" t="s">
        <v>39</v>
      </c>
      <c r="C223" s="20">
        <v>50000</v>
      </c>
      <c r="D223" s="22" t="s">
        <v>30</v>
      </c>
    </row>
    <row r="224" spans="1:4" ht="18.75" x14ac:dyDescent="0.25">
      <c r="A224" s="21">
        <v>46051</v>
      </c>
      <c r="B224" s="19" t="s">
        <v>48</v>
      </c>
      <c r="C224" s="20">
        <v>100000</v>
      </c>
      <c r="D224" s="22" t="s">
        <v>30</v>
      </c>
    </row>
    <row r="225" spans="1:6" ht="18.75" x14ac:dyDescent="0.25">
      <c r="A225" s="21">
        <v>46051</v>
      </c>
      <c r="B225" s="19" t="s">
        <v>35</v>
      </c>
      <c r="C225" s="20">
        <v>160000</v>
      </c>
      <c r="D225" s="22" t="s">
        <v>57</v>
      </c>
    </row>
    <row r="226" spans="1:6" ht="18.75" x14ac:dyDescent="0.25">
      <c r="A226" s="21">
        <v>46051</v>
      </c>
      <c r="B226" s="19" t="s">
        <v>40</v>
      </c>
      <c r="C226" s="20">
        <v>20000</v>
      </c>
      <c r="D226" s="22" t="s">
        <v>3</v>
      </c>
    </row>
    <row r="227" spans="1:6" ht="18.75" x14ac:dyDescent="0.25">
      <c r="A227" s="21">
        <v>45687</v>
      </c>
      <c r="B227" s="19" t="s">
        <v>20</v>
      </c>
      <c r="C227" s="20">
        <v>20000</v>
      </c>
      <c r="D227" s="22" t="s">
        <v>16</v>
      </c>
    </row>
    <row r="228" spans="1:6" ht="18.75" x14ac:dyDescent="0.25">
      <c r="A228" s="21">
        <v>46053</v>
      </c>
      <c r="B228" s="19" t="s">
        <v>66</v>
      </c>
      <c r="C228" s="20">
        <v>500000</v>
      </c>
      <c r="D228" s="22" t="s">
        <v>3</v>
      </c>
    </row>
    <row r="229" spans="1:6" ht="18.75" x14ac:dyDescent="0.25">
      <c r="A229" s="21">
        <v>46053</v>
      </c>
      <c r="B229" s="19" t="s">
        <v>64</v>
      </c>
      <c r="C229" s="20">
        <v>100000</v>
      </c>
      <c r="D229" s="22" t="s">
        <v>16</v>
      </c>
    </row>
    <row r="230" spans="1:6" ht="18.75" x14ac:dyDescent="0.25">
      <c r="A230" s="21">
        <v>46054</v>
      </c>
      <c r="B230" s="19" t="s">
        <v>19</v>
      </c>
      <c r="C230" s="20">
        <v>200000</v>
      </c>
      <c r="D230" s="22" t="s">
        <v>16</v>
      </c>
    </row>
    <row r="231" spans="1:6" ht="18.75" x14ac:dyDescent="0.25">
      <c r="A231" s="21">
        <v>46054</v>
      </c>
      <c r="B231" s="19" t="s">
        <v>19</v>
      </c>
      <c r="C231" s="20">
        <v>500000</v>
      </c>
      <c r="D231" s="22" t="s">
        <v>16</v>
      </c>
    </row>
    <row r="232" spans="1:6" ht="18.75" x14ac:dyDescent="0.25">
      <c r="A232" s="21">
        <v>46054</v>
      </c>
      <c r="B232" s="19" t="s">
        <v>19</v>
      </c>
      <c r="C232" s="20">
        <v>10000</v>
      </c>
      <c r="D232" s="22" t="s">
        <v>16</v>
      </c>
    </row>
    <row r="233" spans="1:6" ht="18.75" x14ac:dyDescent="0.25">
      <c r="A233" s="21">
        <v>46054</v>
      </c>
      <c r="B233" s="19" t="s">
        <v>22</v>
      </c>
      <c r="C233" s="20">
        <v>50000</v>
      </c>
      <c r="D233" s="22" t="s">
        <v>52</v>
      </c>
    </row>
    <row r="234" spans="1:6" ht="18.75" x14ac:dyDescent="0.25">
      <c r="A234" s="21">
        <v>46054</v>
      </c>
      <c r="B234" s="19" t="s">
        <v>22</v>
      </c>
      <c r="C234" s="20">
        <v>50000</v>
      </c>
      <c r="D234" s="22" t="s">
        <v>52</v>
      </c>
    </row>
    <row r="235" spans="1:6" ht="18.75" x14ac:dyDescent="0.25">
      <c r="A235" s="21">
        <v>46054</v>
      </c>
      <c r="B235" s="19" t="s">
        <v>22</v>
      </c>
      <c r="C235" s="20">
        <v>20000</v>
      </c>
      <c r="D235" s="22" t="s">
        <v>52</v>
      </c>
    </row>
    <row r="236" spans="1:6" ht="18.75" x14ac:dyDescent="0.25">
      <c r="A236" s="21">
        <v>46054</v>
      </c>
      <c r="B236" s="19" t="s">
        <v>22</v>
      </c>
      <c r="C236" s="20">
        <v>10000</v>
      </c>
      <c r="D236" s="22" t="s">
        <v>52</v>
      </c>
    </row>
    <row r="237" spans="1:6" ht="18.75" x14ac:dyDescent="0.25">
      <c r="A237" s="21">
        <v>46054</v>
      </c>
      <c r="B237" s="19" t="s">
        <v>25</v>
      </c>
      <c r="C237" s="20">
        <v>325000</v>
      </c>
      <c r="D237" s="22" t="s">
        <v>57</v>
      </c>
    </row>
    <row r="238" spans="1:6" ht="18.75" x14ac:dyDescent="0.25">
      <c r="A238" s="21">
        <v>46054</v>
      </c>
      <c r="B238" s="19" t="s">
        <v>66</v>
      </c>
      <c r="C238" s="20">
        <v>100000</v>
      </c>
      <c r="D238" s="22" t="s">
        <v>3</v>
      </c>
      <c r="F238" s="13"/>
    </row>
    <row r="239" spans="1:6" ht="18.75" x14ac:dyDescent="0.25">
      <c r="A239" s="21">
        <v>46055</v>
      </c>
      <c r="B239" s="19" t="s">
        <v>70</v>
      </c>
      <c r="C239" s="20">
        <v>20000</v>
      </c>
      <c r="D239" s="22" t="s">
        <v>57</v>
      </c>
    </row>
    <row r="240" spans="1:6" ht="18.75" x14ac:dyDescent="0.25">
      <c r="A240" s="21">
        <v>46055</v>
      </c>
      <c r="B240" s="19" t="s">
        <v>36</v>
      </c>
      <c r="C240" s="20">
        <v>100000</v>
      </c>
      <c r="D240" s="22" t="s">
        <v>3</v>
      </c>
    </row>
    <row r="241" spans="1:4" ht="18.75" x14ac:dyDescent="0.25">
      <c r="A241" s="21">
        <v>46056</v>
      </c>
      <c r="B241" s="19" t="s">
        <v>19</v>
      </c>
      <c r="C241" s="20">
        <v>300000</v>
      </c>
      <c r="D241" s="22" t="s">
        <v>16</v>
      </c>
    </row>
    <row r="242" spans="1:4" ht="18.75" x14ac:dyDescent="0.25">
      <c r="A242" s="21">
        <v>46056</v>
      </c>
      <c r="B242" s="19" t="s">
        <v>21</v>
      </c>
      <c r="C242" s="20">
        <v>55000</v>
      </c>
      <c r="D242" s="22" t="s">
        <v>30</v>
      </c>
    </row>
    <row r="243" spans="1:4" ht="18.75" x14ac:dyDescent="0.25">
      <c r="A243" s="21">
        <v>46056</v>
      </c>
      <c r="B243" s="19" t="s">
        <v>22</v>
      </c>
      <c r="C243" s="20">
        <v>80000</v>
      </c>
      <c r="D243" s="22" t="s">
        <v>3</v>
      </c>
    </row>
    <row r="244" spans="1:4" ht="18.75" x14ac:dyDescent="0.25">
      <c r="A244" s="21">
        <v>46056</v>
      </c>
      <c r="B244" s="19" t="s">
        <v>22</v>
      </c>
      <c r="C244" s="20">
        <v>280000</v>
      </c>
      <c r="D244" s="22" t="s">
        <v>57</v>
      </c>
    </row>
    <row r="245" spans="1:4" ht="18.75" x14ac:dyDescent="0.25">
      <c r="A245" s="21">
        <v>46056</v>
      </c>
      <c r="B245" s="19" t="s">
        <v>8</v>
      </c>
      <c r="C245" s="20">
        <v>20000</v>
      </c>
      <c r="D245" s="22" t="s">
        <v>3</v>
      </c>
    </row>
    <row r="246" spans="1:4" ht="18.75" x14ac:dyDescent="0.25">
      <c r="A246" s="21">
        <v>46056</v>
      </c>
      <c r="B246" s="19" t="s">
        <v>8</v>
      </c>
      <c r="C246" s="20">
        <v>50000</v>
      </c>
      <c r="D246" s="22" t="s">
        <v>52</v>
      </c>
    </row>
    <row r="247" spans="1:4" ht="18.75" x14ac:dyDescent="0.25">
      <c r="A247" s="21">
        <v>46057</v>
      </c>
      <c r="B247" s="19" t="s">
        <v>19</v>
      </c>
      <c r="C247" s="20">
        <v>250000</v>
      </c>
      <c r="D247" s="22" t="s">
        <v>16</v>
      </c>
    </row>
    <row r="248" spans="1:4" ht="18.75" x14ac:dyDescent="0.25">
      <c r="A248" s="21">
        <v>46058</v>
      </c>
      <c r="B248" s="19" t="s">
        <v>19</v>
      </c>
      <c r="C248" s="20">
        <v>150000</v>
      </c>
      <c r="D248" s="22" t="s">
        <v>16</v>
      </c>
    </row>
    <row r="249" spans="1:4" ht="18.75" x14ac:dyDescent="0.25">
      <c r="A249" s="21">
        <v>46058</v>
      </c>
      <c r="B249" s="19" t="s">
        <v>36</v>
      </c>
      <c r="C249" s="20">
        <v>20000</v>
      </c>
      <c r="D249" s="22" t="s">
        <v>24</v>
      </c>
    </row>
    <row r="250" spans="1:4" ht="18.75" x14ac:dyDescent="0.25">
      <c r="A250" s="21">
        <v>46058</v>
      </c>
      <c r="B250" s="19" t="s">
        <v>56</v>
      </c>
      <c r="C250" s="20">
        <v>20000</v>
      </c>
      <c r="D250" s="22" t="s">
        <v>3</v>
      </c>
    </row>
    <row r="251" spans="1:4" ht="18.75" x14ac:dyDescent="0.25">
      <c r="A251" s="21">
        <v>46059</v>
      </c>
      <c r="B251" s="19" t="s">
        <v>19</v>
      </c>
      <c r="C251" s="20">
        <v>200000</v>
      </c>
      <c r="D251" s="22" t="s">
        <v>16</v>
      </c>
    </row>
    <row r="252" spans="1:4" ht="18.75" x14ac:dyDescent="0.25">
      <c r="A252" s="21">
        <v>46059</v>
      </c>
      <c r="B252" s="19" t="s">
        <v>17</v>
      </c>
      <c r="C252" s="20">
        <v>500000</v>
      </c>
      <c r="D252" s="22" t="s">
        <v>57</v>
      </c>
    </row>
    <row r="253" spans="1:4" ht="18.75" x14ac:dyDescent="0.25">
      <c r="A253" s="21">
        <v>46059</v>
      </c>
      <c r="B253" s="19" t="s">
        <v>40</v>
      </c>
      <c r="C253" s="20">
        <v>20000</v>
      </c>
      <c r="D253" s="22" t="s">
        <v>3</v>
      </c>
    </row>
    <row r="254" spans="1:4" ht="18.75" x14ac:dyDescent="0.25">
      <c r="A254" s="21">
        <v>46059</v>
      </c>
      <c r="B254" s="19" t="s">
        <v>26</v>
      </c>
      <c r="C254" s="20">
        <v>5000</v>
      </c>
      <c r="D254" s="22" t="s">
        <v>30</v>
      </c>
    </row>
    <row r="255" spans="1:4" ht="18.75" x14ac:dyDescent="0.25">
      <c r="A255" s="21">
        <v>46060</v>
      </c>
      <c r="B255" s="19" t="s">
        <v>42</v>
      </c>
      <c r="C255" s="20">
        <v>200000</v>
      </c>
      <c r="D255" s="22" t="s">
        <v>52</v>
      </c>
    </row>
    <row r="256" spans="1:4" ht="18.75" x14ac:dyDescent="0.25">
      <c r="A256" s="21">
        <v>46060</v>
      </c>
      <c r="B256" s="19" t="s">
        <v>26</v>
      </c>
      <c r="C256" s="20">
        <v>400000</v>
      </c>
      <c r="D256" s="22" t="s">
        <v>30</v>
      </c>
    </row>
    <row r="257" spans="1:4" ht="18.75" x14ac:dyDescent="0.25">
      <c r="A257" s="21">
        <v>46060</v>
      </c>
      <c r="B257" s="19" t="s">
        <v>22</v>
      </c>
      <c r="C257" s="20">
        <v>100000</v>
      </c>
      <c r="D257" s="22" t="s">
        <v>57</v>
      </c>
    </row>
    <row r="258" spans="1:4" ht="18.75" x14ac:dyDescent="0.25">
      <c r="A258" s="21">
        <v>46061</v>
      </c>
      <c r="B258" s="19" t="s">
        <v>20</v>
      </c>
      <c r="C258" s="20">
        <v>50000</v>
      </c>
      <c r="D258" s="22" t="s">
        <v>3</v>
      </c>
    </row>
    <row r="259" spans="1:4" ht="18.75" x14ac:dyDescent="0.25">
      <c r="A259" s="21">
        <v>46061</v>
      </c>
      <c r="B259" s="19" t="s">
        <v>66</v>
      </c>
      <c r="C259" s="20">
        <v>100000</v>
      </c>
      <c r="D259" s="22" t="s">
        <v>3</v>
      </c>
    </row>
    <row r="260" spans="1:4" ht="18.75" x14ac:dyDescent="0.25">
      <c r="A260" s="21">
        <v>46061</v>
      </c>
      <c r="B260" s="19" t="s">
        <v>22</v>
      </c>
      <c r="C260" s="20">
        <v>50000</v>
      </c>
      <c r="D260" s="22" t="s">
        <v>3</v>
      </c>
    </row>
    <row r="261" spans="1:4" ht="18.75" x14ac:dyDescent="0.25">
      <c r="A261" s="21">
        <v>46061</v>
      </c>
      <c r="B261" s="19" t="s">
        <v>66</v>
      </c>
      <c r="C261" s="20">
        <v>20000</v>
      </c>
      <c r="D261" s="22" t="s">
        <v>3</v>
      </c>
    </row>
    <row r="262" spans="1:4" ht="18.75" x14ac:dyDescent="0.25">
      <c r="A262" s="21">
        <v>46061</v>
      </c>
      <c r="B262" s="19" t="s">
        <v>21</v>
      </c>
      <c r="C262" s="20">
        <v>20000</v>
      </c>
      <c r="D262" s="22" t="s">
        <v>3</v>
      </c>
    </row>
    <row r="263" spans="1:4" ht="18.75" x14ac:dyDescent="0.25">
      <c r="A263" s="21"/>
      <c r="B263" s="19"/>
      <c r="C263" s="20"/>
      <c r="D263" s="22"/>
    </row>
    <row r="264" spans="1:4" ht="18.75" x14ac:dyDescent="0.25">
      <c r="A264" s="21"/>
      <c r="B264" s="19"/>
      <c r="C264" s="20"/>
      <c r="D264" s="22"/>
    </row>
    <row r="265" spans="1:4" ht="18.75" x14ac:dyDescent="0.25">
      <c r="A265" s="21"/>
      <c r="B265" s="19"/>
      <c r="C265" s="20"/>
      <c r="D265" s="22"/>
    </row>
    <row r="266" spans="1:4" ht="18.75" x14ac:dyDescent="0.25">
      <c r="A266" s="21"/>
      <c r="B266" s="19"/>
      <c r="C266" s="20"/>
      <c r="D266" s="22"/>
    </row>
    <row r="267" spans="1:4" ht="18.75" x14ac:dyDescent="0.25">
      <c r="A267" s="21"/>
      <c r="B267" s="19"/>
      <c r="C267" s="20"/>
      <c r="D267" s="22"/>
    </row>
    <row r="268" spans="1:4" ht="18.75" x14ac:dyDescent="0.25">
      <c r="A268" s="21"/>
      <c r="B268" s="19"/>
      <c r="C268" s="20"/>
      <c r="D268" s="22"/>
    </row>
    <row r="269" spans="1:4" ht="18.75" x14ac:dyDescent="0.25">
      <c r="A269" s="21"/>
      <c r="B269" s="19"/>
      <c r="C269" s="20"/>
      <c r="D269" s="22"/>
    </row>
    <row r="270" spans="1:4" ht="18.75" x14ac:dyDescent="0.25">
      <c r="A270" s="21"/>
      <c r="B270" s="19"/>
      <c r="C270" s="20"/>
      <c r="D270" s="22"/>
    </row>
    <row r="271" spans="1:4" ht="18.75" x14ac:dyDescent="0.25">
      <c r="A271" s="21"/>
      <c r="B271" s="19"/>
      <c r="C271" s="20"/>
      <c r="D271" s="22"/>
    </row>
    <row r="272" spans="1:4" ht="18.75" x14ac:dyDescent="0.25">
      <c r="A272" s="21"/>
      <c r="B272" s="19"/>
      <c r="C272" s="20"/>
      <c r="D272" s="22"/>
    </row>
    <row r="273" spans="1:4" ht="18.75" x14ac:dyDescent="0.25">
      <c r="A273" s="21"/>
      <c r="B273" s="19"/>
      <c r="C273" s="20"/>
      <c r="D273" s="22"/>
    </row>
    <row r="274" spans="1:4" ht="18.75" x14ac:dyDescent="0.25">
      <c r="A274" s="21"/>
      <c r="B274" s="19"/>
      <c r="C274" s="20"/>
      <c r="D274" s="22"/>
    </row>
    <row r="275" spans="1:4" ht="18.75" x14ac:dyDescent="0.25">
      <c r="A275" s="21"/>
      <c r="B275" s="19"/>
      <c r="C275" s="20"/>
      <c r="D275" s="22"/>
    </row>
    <row r="276" spans="1:4" ht="18.75" x14ac:dyDescent="0.25">
      <c r="A276" s="21"/>
      <c r="B276" s="19"/>
      <c r="C276" s="20"/>
      <c r="D276" s="22"/>
    </row>
    <row r="277" spans="1:4" ht="18.75" x14ac:dyDescent="0.25">
      <c r="A277" s="21"/>
      <c r="B277" s="19"/>
      <c r="C277" s="20"/>
      <c r="D277" s="22"/>
    </row>
    <row r="278" spans="1:4" ht="18.75" x14ac:dyDescent="0.25">
      <c r="A278" s="21"/>
      <c r="B278" s="19"/>
      <c r="C278" s="20"/>
      <c r="D278" s="22"/>
    </row>
    <row r="279" spans="1:4" ht="18.75" x14ac:dyDescent="0.25">
      <c r="A279" s="21"/>
      <c r="B279" s="19"/>
      <c r="C279" s="20"/>
      <c r="D279" s="22"/>
    </row>
    <row r="280" spans="1:4" ht="18.75" x14ac:dyDescent="0.25">
      <c r="A280" s="21"/>
      <c r="B280" s="19"/>
      <c r="C280" s="20"/>
      <c r="D280" s="22"/>
    </row>
    <row r="281" spans="1:4" ht="18.75" x14ac:dyDescent="0.25">
      <c r="A281" s="21"/>
      <c r="B281" s="19"/>
      <c r="C281" s="20"/>
      <c r="D281" s="22"/>
    </row>
    <row r="282" spans="1:4" ht="18.75" x14ac:dyDescent="0.25">
      <c r="A282" s="21"/>
      <c r="B282" s="19"/>
      <c r="C282" s="20"/>
      <c r="D282" s="22"/>
    </row>
    <row r="283" spans="1:4" ht="18.75" x14ac:dyDescent="0.25">
      <c r="A283" s="21"/>
      <c r="B283" s="19"/>
      <c r="C283" s="20"/>
      <c r="D283" s="22"/>
    </row>
    <row r="284" spans="1:4" ht="18.75" x14ac:dyDescent="0.25">
      <c r="A284" s="21"/>
      <c r="B284" s="19"/>
      <c r="C284" s="20"/>
      <c r="D284" s="22"/>
    </row>
    <row r="285" spans="1:4" ht="18.75" x14ac:dyDescent="0.25">
      <c r="A285" s="21"/>
      <c r="B285" s="19"/>
      <c r="C285" s="20"/>
      <c r="D285" s="22"/>
    </row>
    <row r="286" spans="1:4" ht="18.75" x14ac:dyDescent="0.25">
      <c r="A286" s="21"/>
      <c r="B286" s="19"/>
      <c r="C286" s="20"/>
      <c r="D286" s="22"/>
    </row>
    <row r="287" spans="1:4" ht="18.75" x14ac:dyDescent="0.25">
      <c r="A287" s="21"/>
      <c r="B287" s="19"/>
      <c r="C287" s="20"/>
      <c r="D287" s="22"/>
    </row>
    <row r="288" spans="1:4" ht="18.75" x14ac:dyDescent="0.25">
      <c r="A288" s="21"/>
      <c r="B288" s="19"/>
      <c r="C288" s="20"/>
      <c r="D288" s="22"/>
    </row>
    <row r="289" spans="1:4" ht="18.75" x14ac:dyDescent="0.25">
      <c r="A289" s="21"/>
      <c r="B289" s="19"/>
      <c r="C289" s="20"/>
      <c r="D289" s="22"/>
    </row>
    <row r="290" spans="1:4" ht="18.75" x14ac:dyDescent="0.25">
      <c r="A290" s="21"/>
      <c r="B290" s="19"/>
      <c r="C290" s="20"/>
      <c r="D290" s="22"/>
    </row>
    <row r="291" spans="1:4" ht="18.75" x14ac:dyDescent="0.25">
      <c r="A291" s="21"/>
      <c r="B291" s="19"/>
      <c r="C291" s="20"/>
      <c r="D291" s="22"/>
    </row>
    <row r="292" spans="1:4" ht="18.75" x14ac:dyDescent="0.25">
      <c r="A292" s="21"/>
      <c r="B292" s="19"/>
      <c r="C292" s="20"/>
      <c r="D292" s="22"/>
    </row>
    <row r="293" spans="1:4" ht="18.75" x14ac:dyDescent="0.25">
      <c r="A293" s="21"/>
      <c r="B293" s="19"/>
      <c r="C293" s="20"/>
      <c r="D293" s="22"/>
    </row>
    <row r="294" spans="1:4" ht="18.75" x14ac:dyDescent="0.25">
      <c r="A294" s="21"/>
      <c r="B294" s="19"/>
      <c r="C294" s="20"/>
      <c r="D294" s="22"/>
    </row>
    <row r="295" spans="1:4" ht="18.75" x14ac:dyDescent="0.25">
      <c r="A295" s="21"/>
      <c r="B295" s="19"/>
      <c r="C295" s="20"/>
      <c r="D295" s="22"/>
    </row>
    <row r="296" spans="1:4" ht="18.75" x14ac:dyDescent="0.25">
      <c r="A296" s="21"/>
      <c r="B296" s="19"/>
      <c r="C296" s="20"/>
      <c r="D296" s="22"/>
    </row>
    <row r="297" spans="1:4" ht="18.75" x14ac:dyDescent="0.25">
      <c r="A297" s="21"/>
      <c r="B297" s="19"/>
      <c r="C297" s="20"/>
      <c r="D297" s="22"/>
    </row>
    <row r="298" spans="1:4" ht="18.75" x14ac:dyDescent="0.25">
      <c r="A298" s="21"/>
      <c r="B298" s="19"/>
      <c r="C298" s="20"/>
      <c r="D298" s="22"/>
    </row>
    <row r="299" spans="1:4" ht="18.75" x14ac:dyDescent="0.25">
      <c r="A299" s="21"/>
      <c r="B299" s="19"/>
      <c r="C299" s="20"/>
      <c r="D299" s="22"/>
    </row>
    <row r="300" spans="1:4" ht="18.75" x14ac:dyDescent="0.25">
      <c r="A300" s="21"/>
      <c r="B300" s="19"/>
      <c r="C300" s="20"/>
      <c r="D300" s="22"/>
    </row>
    <row r="301" spans="1:4" ht="18.75" x14ac:dyDescent="0.25">
      <c r="A301" s="21"/>
      <c r="B301" s="19"/>
      <c r="C301" s="20"/>
      <c r="D301" s="22"/>
    </row>
    <row r="302" spans="1:4" ht="18.75" x14ac:dyDescent="0.25">
      <c r="A302" s="21"/>
      <c r="B302" s="19"/>
      <c r="C302" s="20"/>
      <c r="D302" s="22"/>
    </row>
    <row r="303" spans="1:4" ht="18.75" x14ac:dyDescent="0.25">
      <c r="A303" s="21"/>
      <c r="B303" s="19"/>
      <c r="C303" s="20"/>
      <c r="D303" s="22"/>
    </row>
    <row r="304" spans="1:4" ht="18.75" x14ac:dyDescent="0.25">
      <c r="A304" s="21"/>
      <c r="B304" s="19"/>
      <c r="C304" s="20"/>
      <c r="D304" s="22"/>
    </row>
    <row r="305" spans="1:4" ht="18.75" x14ac:dyDescent="0.25">
      <c r="A305" s="21"/>
      <c r="B305" s="19"/>
      <c r="C305" s="20"/>
      <c r="D305" s="22"/>
    </row>
    <row r="306" spans="1:4" ht="18.75" x14ac:dyDescent="0.25">
      <c r="A306" s="21"/>
      <c r="B306" s="19"/>
      <c r="C306" s="20"/>
      <c r="D306" s="22"/>
    </row>
    <row r="307" spans="1:4" ht="18.75" x14ac:dyDescent="0.25">
      <c r="A307" s="21"/>
      <c r="B307" s="19"/>
      <c r="C307" s="20"/>
      <c r="D307" s="22"/>
    </row>
    <row r="308" spans="1:4" ht="18.75" x14ac:dyDescent="0.25">
      <c r="A308" s="21"/>
      <c r="B308" s="19"/>
      <c r="C308" s="20"/>
      <c r="D308" s="22"/>
    </row>
    <row r="309" spans="1:4" ht="18.75" x14ac:dyDescent="0.25">
      <c r="A309" s="21"/>
      <c r="B309" s="19"/>
      <c r="C309" s="20"/>
      <c r="D309" s="22"/>
    </row>
    <row r="310" spans="1:4" ht="18.75" x14ac:dyDescent="0.25">
      <c r="A310" s="21"/>
      <c r="B310" s="19"/>
      <c r="C310" s="20"/>
      <c r="D310" s="22"/>
    </row>
    <row r="311" spans="1:4" ht="18.75" x14ac:dyDescent="0.25">
      <c r="A311" s="21"/>
      <c r="B311" s="19"/>
      <c r="C311" s="20"/>
      <c r="D311" s="22"/>
    </row>
    <row r="312" spans="1:4" ht="18.75" x14ac:dyDescent="0.25">
      <c r="A312" s="21"/>
      <c r="B312" s="19"/>
      <c r="C312" s="20"/>
      <c r="D312" s="22"/>
    </row>
    <row r="313" spans="1:4" ht="18.75" x14ac:dyDescent="0.25">
      <c r="A313" s="21"/>
      <c r="B313" s="19"/>
      <c r="C313" s="20"/>
      <c r="D313" s="22"/>
    </row>
    <row r="314" spans="1:4" ht="18.75" x14ac:dyDescent="0.25">
      <c r="A314" s="21"/>
      <c r="B314" s="19"/>
      <c r="C314" s="20"/>
      <c r="D314" s="22"/>
    </row>
    <row r="315" spans="1:4" ht="18.75" x14ac:dyDescent="0.25">
      <c r="A315" s="21"/>
      <c r="B315" s="19"/>
      <c r="C315" s="20"/>
      <c r="D315" s="22"/>
    </row>
    <row r="316" spans="1:4" ht="18.75" x14ac:dyDescent="0.25">
      <c r="A316" s="21"/>
      <c r="B316" s="19"/>
      <c r="C316" s="20"/>
      <c r="D316" s="22"/>
    </row>
    <row r="317" spans="1:4" ht="18.75" x14ac:dyDescent="0.25">
      <c r="A317" s="21"/>
      <c r="B317" s="19"/>
      <c r="C317" s="20"/>
      <c r="D317" s="22"/>
    </row>
    <row r="318" spans="1:4" ht="18.75" x14ac:dyDescent="0.25">
      <c r="A318" s="21"/>
      <c r="B318" s="19"/>
      <c r="C318" s="20"/>
      <c r="D318" s="22"/>
    </row>
    <row r="319" spans="1:4" ht="18.75" x14ac:dyDescent="0.25">
      <c r="A319" s="21"/>
      <c r="B319" s="19"/>
      <c r="C319" s="20"/>
      <c r="D319" s="22"/>
    </row>
    <row r="320" spans="1:4" ht="18.75" x14ac:dyDescent="0.25">
      <c r="A320" s="21"/>
      <c r="B320" s="19"/>
      <c r="C320" s="20"/>
      <c r="D320" s="22"/>
    </row>
    <row r="321" spans="1:4" ht="18.75" x14ac:dyDescent="0.25">
      <c r="A321" s="21"/>
      <c r="B321" s="19"/>
      <c r="C321" s="20"/>
      <c r="D321" s="22"/>
    </row>
    <row r="322" spans="1:4" ht="18.75" x14ac:dyDescent="0.25">
      <c r="A322" s="21"/>
      <c r="B322" s="19"/>
      <c r="C322" s="20"/>
      <c r="D322" s="22"/>
    </row>
    <row r="323" spans="1:4" ht="18.75" x14ac:dyDescent="0.25">
      <c r="A323" s="21"/>
      <c r="B323" s="19"/>
      <c r="C323" s="20"/>
      <c r="D323" s="22"/>
    </row>
    <row r="324" spans="1:4" ht="18.75" x14ac:dyDescent="0.25">
      <c r="A324" s="21"/>
      <c r="B324" s="19"/>
      <c r="C324" s="20"/>
      <c r="D324" s="22"/>
    </row>
    <row r="325" spans="1:4" ht="18.75" x14ac:dyDescent="0.25">
      <c r="A325" s="21"/>
      <c r="B325" s="19"/>
      <c r="C325" s="20"/>
      <c r="D325" s="22"/>
    </row>
    <row r="326" spans="1:4" ht="18.75" x14ac:dyDescent="0.25">
      <c r="A326" s="21"/>
      <c r="B326" s="19"/>
      <c r="C326" s="20"/>
      <c r="D326" s="22"/>
    </row>
    <row r="327" spans="1:4" ht="18.75" x14ac:dyDescent="0.25">
      <c r="A327" s="21"/>
      <c r="B327" s="19"/>
      <c r="C327" s="20"/>
      <c r="D327" s="22"/>
    </row>
    <row r="328" spans="1:4" ht="18.75" x14ac:dyDescent="0.25">
      <c r="A328" s="21"/>
      <c r="B328" s="19"/>
      <c r="C328" s="20"/>
      <c r="D328" s="22"/>
    </row>
    <row r="329" spans="1:4" ht="18.75" x14ac:dyDescent="0.25">
      <c r="A329" s="21"/>
      <c r="B329" s="19"/>
      <c r="C329" s="20"/>
      <c r="D329" s="22"/>
    </row>
    <row r="330" spans="1:4" ht="18.75" x14ac:dyDescent="0.25">
      <c r="A330" s="21"/>
      <c r="B330" s="19"/>
      <c r="C330" s="20"/>
      <c r="D330" s="22"/>
    </row>
    <row r="331" spans="1:4" ht="18.75" x14ac:dyDescent="0.25">
      <c r="A331" s="21"/>
      <c r="B331" s="19"/>
      <c r="C331" s="20"/>
      <c r="D331" s="22"/>
    </row>
    <row r="332" spans="1:4" ht="18.75" x14ac:dyDescent="0.25">
      <c r="A332" s="21"/>
      <c r="B332" s="19"/>
      <c r="C332" s="20"/>
      <c r="D332" s="22"/>
    </row>
    <row r="333" spans="1:4" ht="18.75" x14ac:dyDescent="0.25">
      <c r="A333" s="21"/>
      <c r="B333" s="19"/>
      <c r="C333" s="20"/>
      <c r="D333" s="22"/>
    </row>
    <row r="334" spans="1:4" ht="18.75" x14ac:dyDescent="0.25">
      <c r="A334" s="21"/>
      <c r="B334" s="19"/>
      <c r="C334" s="20"/>
      <c r="D334" s="22"/>
    </row>
    <row r="335" spans="1:4" ht="18.75" x14ac:dyDescent="0.25">
      <c r="A335" s="21"/>
      <c r="B335" s="19"/>
      <c r="C335" s="20"/>
      <c r="D335" s="22"/>
    </row>
    <row r="336" spans="1:4" ht="18.75" x14ac:dyDescent="0.25">
      <c r="A336" s="21"/>
    </row>
  </sheetData>
  <autoFilter ref="A1:D237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2026-02-09T10:09:45Z</dcterms:modified>
</cp:coreProperties>
</file>