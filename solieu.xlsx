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5BA78023-DC2B-4AAA-96E3-092AC162EAB0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Sheet4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3" l="1"/>
  <c r="I21" i="3"/>
  <c r="I20" i="3"/>
  <c r="F20" i="3" s="1"/>
  <c r="E10" i="3"/>
  <c r="I18" i="3"/>
  <c r="F18" i="3" s="1"/>
  <c r="I19" i="3"/>
  <c r="F19" i="3" s="1"/>
  <c r="I17" i="3"/>
  <c r="F17" i="3" s="1"/>
  <c r="U43" i="4"/>
  <c r="D28" i="3"/>
  <c r="I16" i="3"/>
  <c r="F16" i="3" s="1"/>
  <c r="T43" i="4"/>
  <c r="I14" i="3"/>
  <c r="F14" i="3" s="1"/>
  <c r="I15" i="3"/>
  <c r="F15" i="3" s="1"/>
  <c r="I13" i="3"/>
  <c r="F13" i="3" s="1"/>
  <c r="I12" i="3"/>
  <c r="F12" i="3" s="1"/>
  <c r="E5" i="3"/>
  <c r="R26" i="4"/>
  <c r="R25" i="4"/>
  <c r="R19" i="4"/>
  <c r="R8" i="4"/>
  <c r="G20" i="4"/>
  <c r="G43" i="4" s="1"/>
  <c r="F10" i="4"/>
  <c r="E16" i="4"/>
  <c r="E3" i="3"/>
  <c r="D10" i="3"/>
  <c r="I10" i="3" s="1"/>
  <c r="D8" i="3"/>
  <c r="I8" i="3" s="1"/>
  <c r="F8" i="3" s="1"/>
  <c r="I11" i="3"/>
  <c r="F11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0" i="3" l="1"/>
  <c r="F24" i="3"/>
  <c r="R43" i="4"/>
  <c r="F5" i="3"/>
  <c r="F3" i="3"/>
  <c r="F25" i="3"/>
  <c r="F26" i="3" l="1"/>
</calcChain>
</file>

<file path=xl/sharedStrings.xml><?xml version="1.0" encoding="utf-8"?>
<sst xmlns="http://schemas.openxmlformats.org/spreadsheetml/2006/main" count="382" uniqueCount="100">
  <si>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</si>
  <si>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</si>
  <si>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</si>
  <si>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</si>
  <si>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</si>
  <si>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</si>
  <si>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</si>
  <si>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</si>
  <si>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</si>
  <si>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</si>
  <si>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</si>
  <si>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</si>
  <si>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</si>
  <si>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</si>
  <si>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</si>
  <si>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</si>
  <si>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</si>
  <si>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</si>
  <si>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</si>
  <si>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</si>
  <si>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</si>
  <si>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</si>
  <si>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</si>
  <si>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</si>
  <si>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</si>
  <si>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</si>
  <si>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</si>
  <si>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</si>
  <si>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</si>
  <si>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</si>
  <si>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</si>
  <si>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</si>
  <si>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</si>
  <si>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</si>
  <si>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</si>
  <si>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</si>
  <si>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</si>
  <si>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</si>
  <si>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</si>
  <si>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</si>
  <si>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</si>
  <si>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</si>
  <si>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</si>
  <si>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</si>
  <si>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</si>
  <si>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</si>
  <si>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1 ngày</t>
  </si>
  <si>
    <t>6 ngày</t>
  </si>
  <si>
    <t>Nguyễn Phước Đăng Tùng (NaOH)</t>
  </si>
  <si>
    <t>Nạp điện thoại</t>
  </si>
  <si>
    <t>Mua quân huy</t>
  </si>
  <si>
    <t>7 ngày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</si>
  <si>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</si>
  <si>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</si>
  <si>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</si>
  <si>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</si>
  <si>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</si>
  <si>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</si>
  <si>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</si>
  <si>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</si>
  <si>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</si>
  <si>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</si>
  <si>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</si>
  <si>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</si>
  <si>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</si>
  <si>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</si>
  <si>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</si>
  <si>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</si>
  <si>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</si>
  <si>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</si>
  <si>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</si>
  <si>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</si>
  <si>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</si>
  <si>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</si>
  <si>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</si>
  <si>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</si>
  <si>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</si>
  <si>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</si>
  <si>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</si>
  <si>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</si>
  <si>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</si>
  <si>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</si>
  <si>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</si>
  <si>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</si>
  <si>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</si>
  <si>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</si>
  <si>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</si>
  <si>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</si>
  <si>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</si>
  <si>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</si>
  <si>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</si>
  <si>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</si>
  <si>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</si>
  <si>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</si>
  <si>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</si>
  <si>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</si>
  <si>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</si>
  <si>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</si>
  <si>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</si>
  <si>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Đã trả 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</si>
</sst>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2"/>
  <sheetViews>
    <sheetView tabSelected="1" zoomScale="95" zoomScaleNormal="95" workbookViewId="0">
      <selection activeCell="J24" sqref="J24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51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</f>
        <v>34000</v>
      </c>
      <c r="F5" s="37">
        <f t="shared" ref="F5" si="2">(D5+I5)-E5</f>
        <v>86000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46005</v>
      </c>
      <c r="L5" s="15" t="s">
        <v>46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53</v>
      </c>
      <c r="M6" s="1" t="s">
        <v>14</v>
      </c>
    </row>
    <row r="7" spans="1:17" x14ac:dyDescent="0.25">
      <c r="A7" s="1">
        <v>6</v>
      </c>
      <c r="B7" s="28" t="s">
        <v>43</v>
      </c>
      <c r="C7" s="1" t="s">
        <v>40</v>
      </c>
      <c r="D7" s="33">
        <v>50000</v>
      </c>
      <c r="E7" s="33">
        <v>0</v>
      </c>
      <c r="F7" s="33">
        <f>(D7+I7)-E7</f>
        <v>50000</v>
      </c>
      <c r="G7" s="33">
        <v>0</v>
      </c>
      <c r="H7" s="34">
        <v>0</v>
      </c>
      <c r="I7" s="33">
        <f t="shared" ref="I7" si="6">D7*H7</f>
        <v>0</v>
      </c>
      <c r="J7" s="4">
        <v>46001</v>
      </c>
      <c r="K7" s="4">
        <v>46007</v>
      </c>
      <c r="L7" s="1" t="s">
        <v>53</v>
      </c>
      <c r="M7" s="1" t="s">
        <v>14</v>
      </c>
    </row>
    <row r="8" spans="1:17" x14ac:dyDescent="0.25">
      <c r="A8" s="1">
        <v>7</v>
      </c>
      <c r="B8" s="28" t="s">
        <v>20</v>
      </c>
      <c r="C8" s="1" t="s">
        <v>3</v>
      </c>
      <c r="D8" s="33">
        <f>100000+50000</f>
        <v>150000</v>
      </c>
      <c r="E8" s="33">
        <v>0</v>
      </c>
      <c r="F8" s="33">
        <f t="shared" ref="F8:F9" si="7">(D8+I8)-E8</f>
        <v>150000</v>
      </c>
      <c r="G8" s="33">
        <v>0</v>
      </c>
      <c r="H8" s="34">
        <v>0</v>
      </c>
      <c r="I8" s="33">
        <f t="shared" ref="I8:I9" si="8">D8*H8</f>
        <v>0</v>
      </c>
      <c r="J8" s="4">
        <v>46001</v>
      </c>
      <c r="K8" s="4">
        <v>46007</v>
      </c>
      <c r="L8" s="1" t="s">
        <v>53</v>
      </c>
      <c r="M8" s="1" t="s">
        <v>14</v>
      </c>
    </row>
    <row r="9" spans="1:17" x14ac:dyDescent="0.25">
      <c r="A9" s="1">
        <v>8</v>
      </c>
      <c r="B9" s="28" t="s">
        <v>44</v>
      </c>
      <c r="C9" s="1" t="s">
        <v>3</v>
      </c>
      <c r="D9" s="33">
        <v>50000</v>
      </c>
      <c r="E9" s="33">
        <v>0</v>
      </c>
      <c r="F9" s="33">
        <f t="shared" si="7"/>
        <v>50000</v>
      </c>
      <c r="G9" s="33">
        <v>0</v>
      </c>
      <c r="H9" s="34">
        <v>0</v>
      </c>
      <c r="I9" s="33">
        <f t="shared" si="8"/>
        <v>0</v>
      </c>
      <c r="J9" s="4">
        <v>46001</v>
      </c>
      <c r="K9" s="4">
        <v>46007</v>
      </c>
      <c r="L9" s="1" t="s">
        <v>53</v>
      </c>
      <c r="M9" s="1" t="s">
        <v>14</v>
      </c>
    </row>
    <row r="10" spans="1:17" x14ac:dyDescent="0.25">
      <c r="A10" s="1">
        <v>9</v>
      </c>
      <c r="B10" s="43" t="s">
        <v>26</v>
      </c>
      <c r="C10" s="44" t="s">
        <v>45</v>
      </c>
      <c r="D10" s="45">
        <f>20000+20000+50000</f>
        <v>90000</v>
      </c>
      <c r="E10" s="45">
        <f>50000+40000</f>
        <v>90000</v>
      </c>
      <c r="F10" s="45">
        <f t="shared" ref="F10" si="9">(D10+I10)-E10</f>
        <v>0</v>
      </c>
      <c r="G10" s="45">
        <v>0</v>
      </c>
      <c r="H10" s="46">
        <v>0</v>
      </c>
      <c r="I10" s="45">
        <f t="shared" ref="I10" si="10">D10*H10</f>
        <v>0</v>
      </c>
      <c r="J10" s="47">
        <v>46003</v>
      </c>
      <c r="K10" s="47">
        <v>46005</v>
      </c>
      <c r="L10" s="44"/>
      <c r="M10" s="44" t="s">
        <v>99</v>
      </c>
    </row>
    <row r="11" spans="1:17" x14ac:dyDescent="0.25">
      <c r="A11" s="1">
        <v>10</v>
      </c>
      <c r="B11" s="28" t="s">
        <v>39</v>
      </c>
      <c r="C11" s="1" t="s">
        <v>30</v>
      </c>
      <c r="D11" s="33">
        <v>150000</v>
      </c>
      <c r="E11" s="33">
        <v>0</v>
      </c>
      <c r="F11" s="33">
        <f t="shared" ref="F11" si="11">(D11+I11)-E11</f>
        <v>150000</v>
      </c>
      <c r="G11" s="33">
        <v>0</v>
      </c>
      <c r="H11" s="34">
        <v>0</v>
      </c>
      <c r="I11" s="33">
        <f t="shared" ref="I11" si="12">D11*H11</f>
        <v>0</v>
      </c>
      <c r="J11" s="4">
        <v>46003</v>
      </c>
      <c r="K11" s="4">
        <v>46009</v>
      </c>
      <c r="L11" s="1" t="s">
        <v>54</v>
      </c>
      <c r="M11" s="1" t="s">
        <v>14</v>
      </c>
    </row>
    <row r="12" spans="1:17" x14ac:dyDescent="0.25">
      <c r="A12" s="1">
        <v>11</v>
      </c>
      <c r="B12" s="28" t="s">
        <v>48</v>
      </c>
      <c r="C12" s="1" t="s">
        <v>49</v>
      </c>
      <c r="D12" s="33">
        <v>340000</v>
      </c>
      <c r="E12" s="33">
        <v>0</v>
      </c>
      <c r="F12" s="33">
        <f t="shared" ref="F12" si="13">(D12+I12)-E12</f>
        <v>340000</v>
      </c>
      <c r="G12" s="33">
        <v>0</v>
      </c>
      <c r="H12" s="34">
        <v>0</v>
      </c>
      <c r="I12" s="33">
        <f t="shared" ref="I12" si="14">D12*H12</f>
        <v>0</v>
      </c>
      <c r="J12" s="4">
        <v>46003</v>
      </c>
      <c r="K12" s="4">
        <v>46009</v>
      </c>
      <c r="L12" s="1" t="s">
        <v>54</v>
      </c>
      <c r="M12" s="1" t="s">
        <v>14</v>
      </c>
    </row>
    <row r="13" spans="1:17" x14ac:dyDescent="0.25">
      <c r="A13" s="1">
        <v>12</v>
      </c>
      <c r="B13" s="28" t="s">
        <v>17</v>
      </c>
      <c r="C13" s="1" t="s">
        <v>50</v>
      </c>
      <c r="D13" s="33">
        <v>50000</v>
      </c>
      <c r="E13" s="33">
        <v>0</v>
      </c>
      <c r="F13" s="33">
        <f t="shared" ref="F13" si="15">(D13+I13)-E13</f>
        <v>50000</v>
      </c>
      <c r="G13" s="33">
        <v>0</v>
      </c>
      <c r="H13" s="34">
        <v>0</v>
      </c>
      <c r="I13" s="33">
        <f t="shared" ref="I13" si="16">D13*H13</f>
        <v>0</v>
      </c>
      <c r="J13" s="4">
        <v>46004</v>
      </c>
      <c r="K13" s="4">
        <v>46010</v>
      </c>
      <c r="L13" s="1" t="s">
        <v>47</v>
      </c>
      <c r="M13" s="1" t="s">
        <v>14</v>
      </c>
    </row>
    <row r="14" spans="1:17" x14ac:dyDescent="0.25">
      <c r="A14" s="1">
        <v>13</v>
      </c>
      <c r="B14" s="28" t="s">
        <v>18</v>
      </c>
      <c r="C14" s="1" t="s">
        <v>16</v>
      </c>
      <c r="D14" s="33">
        <v>20000</v>
      </c>
      <c r="E14" s="33">
        <v>0</v>
      </c>
      <c r="F14" s="33">
        <f t="shared" ref="F14:F15" si="17">(D14+I14)-E14</f>
        <v>20000</v>
      </c>
      <c r="G14" s="33">
        <v>0</v>
      </c>
      <c r="H14" s="34">
        <v>0</v>
      </c>
      <c r="I14" s="33">
        <f t="shared" ref="I14:I15" si="18">D14*H14</f>
        <v>0</v>
      </c>
      <c r="J14" s="4">
        <v>46004</v>
      </c>
      <c r="K14" s="4">
        <v>46010</v>
      </c>
      <c r="L14" s="1" t="s">
        <v>47</v>
      </c>
      <c r="M14" s="1" t="s">
        <v>14</v>
      </c>
    </row>
    <row r="15" spans="1:17" x14ac:dyDescent="0.25">
      <c r="A15" s="1">
        <v>14</v>
      </c>
      <c r="B15" s="28" t="s">
        <v>52</v>
      </c>
      <c r="C15" s="1" t="s">
        <v>16</v>
      </c>
      <c r="D15" s="33">
        <v>20000</v>
      </c>
      <c r="E15" s="33">
        <v>0</v>
      </c>
      <c r="F15" s="33">
        <f t="shared" si="17"/>
        <v>20000</v>
      </c>
      <c r="G15" s="33">
        <v>0</v>
      </c>
      <c r="H15" s="34">
        <v>0</v>
      </c>
      <c r="I15" s="33">
        <f t="shared" si="18"/>
        <v>0</v>
      </c>
      <c r="J15" s="4">
        <v>46004</v>
      </c>
      <c r="K15" s="4">
        <v>46010</v>
      </c>
      <c r="L15" s="1" t="s">
        <v>47</v>
      </c>
      <c r="M15" s="1" t="s">
        <v>14</v>
      </c>
    </row>
    <row r="16" spans="1:17" x14ac:dyDescent="0.25">
      <c r="A16" s="1">
        <v>15</v>
      </c>
      <c r="B16" s="28" t="s">
        <v>41</v>
      </c>
      <c r="C16" s="1" t="s">
        <v>3</v>
      </c>
      <c r="D16" s="33">
        <v>100000</v>
      </c>
      <c r="E16" s="33">
        <v>0</v>
      </c>
      <c r="F16" s="33">
        <f t="shared" ref="F16" si="19">(D16+I16)-E16</f>
        <v>100000</v>
      </c>
      <c r="G16" s="33">
        <v>0</v>
      </c>
      <c r="H16" s="34">
        <v>0</v>
      </c>
      <c r="I16" s="33">
        <f t="shared" ref="I16" si="20">D16*H16</f>
        <v>0</v>
      </c>
      <c r="J16" s="4">
        <v>46004</v>
      </c>
      <c r="K16" s="4">
        <v>46010</v>
      </c>
      <c r="L16" s="1" t="s">
        <v>47</v>
      </c>
      <c r="M16" s="1" t="s">
        <v>14</v>
      </c>
    </row>
    <row r="17" spans="1:13" x14ac:dyDescent="0.25">
      <c r="A17" s="1">
        <v>16</v>
      </c>
      <c r="B17" s="28" t="s">
        <v>55</v>
      </c>
      <c r="C17" s="1" t="s">
        <v>16</v>
      </c>
      <c r="D17" s="33">
        <v>20000</v>
      </c>
      <c r="E17" s="33">
        <v>0</v>
      </c>
      <c r="F17" s="33">
        <f t="shared" ref="F17" si="21">(D17+I17)-E17</f>
        <v>20000</v>
      </c>
      <c r="G17" s="33">
        <v>0</v>
      </c>
      <c r="H17" s="34">
        <v>0</v>
      </c>
      <c r="I17" s="33">
        <f t="shared" ref="I17" si="22">D17*H17</f>
        <v>0</v>
      </c>
      <c r="J17" s="4">
        <v>46005</v>
      </c>
      <c r="K17" s="4">
        <v>46011</v>
      </c>
      <c r="L17" s="1" t="s">
        <v>51</v>
      </c>
      <c r="M17" s="1" t="s">
        <v>14</v>
      </c>
    </row>
    <row r="18" spans="1:13" x14ac:dyDescent="0.25">
      <c r="A18" s="1">
        <v>17</v>
      </c>
      <c r="B18" s="28" t="s">
        <v>8</v>
      </c>
      <c r="C18" s="1" t="s">
        <v>3</v>
      </c>
      <c r="D18" s="33">
        <v>20000</v>
      </c>
      <c r="E18" s="33">
        <v>0</v>
      </c>
      <c r="F18" s="33">
        <f t="shared" ref="F18:F19" si="23">(D18+I18)-E18</f>
        <v>20000</v>
      </c>
      <c r="G18" s="33">
        <v>0</v>
      </c>
      <c r="H18" s="34">
        <v>0</v>
      </c>
      <c r="I18" s="33">
        <f t="shared" ref="I18:I19" si="24">D18*H18</f>
        <v>0</v>
      </c>
      <c r="J18" s="4">
        <v>46005</v>
      </c>
      <c r="K18" s="4">
        <v>46011</v>
      </c>
      <c r="L18" s="1" t="s">
        <v>51</v>
      </c>
      <c r="M18" s="1" t="s">
        <v>14</v>
      </c>
    </row>
    <row r="19" spans="1:13" x14ac:dyDescent="0.25">
      <c r="A19" s="1">
        <v>18</v>
      </c>
      <c r="B19" s="28" t="s">
        <v>36</v>
      </c>
      <c r="C19" s="1" t="s">
        <v>30</v>
      </c>
      <c r="D19" s="33">
        <v>5000</v>
      </c>
      <c r="E19" s="33">
        <v>0</v>
      </c>
      <c r="F19" s="33">
        <f t="shared" si="23"/>
        <v>5000</v>
      </c>
      <c r="G19" s="33">
        <v>0</v>
      </c>
      <c r="H19" s="34">
        <v>0</v>
      </c>
      <c r="I19" s="33">
        <f t="shared" si="24"/>
        <v>0</v>
      </c>
      <c r="J19" s="4">
        <v>46005</v>
      </c>
      <c r="K19" s="4">
        <v>46011</v>
      </c>
      <c r="L19" s="1" t="s">
        <v>51</v>
      </c>
      <c r="M19" s="1" t="s">
        <v>14</v>
      </c>
    </row>
    <row r="20" spans="1:13" x14ac:dyDescent="0.25">
      <c r="A20" s="1">
        <v>19</v>
      </c>
      <c r="B20" s="28" t="s">
        <v>26</v>
      </c>
      <c r="C20" s="1" t="s">
        <v>40</v>
      </c>
      <c r="D20" s="33">
        <v>5000</v>
      </c>
      <c r="E20" s="33">
        <v>0</v>
      </c>
      <c r="F20" s="33">
        <f t="shared" ref="F20" si="25">(D20+I20)-E20</f>
        <v>5000</v>
      </c>
      <c r="G20" s="33">
        <v>0</v>
      </c>
      <c r="H20" s="34">
        <v>0</v>
      </c>
      <c r="I20" s="33">
        <f t="shared" ref="I20" si="26">D20*H20</f>
        <v>0</v>
      </c>
      <c r="J20" s="4">
        <v>46005</v>
      </c>
      <c r="K20" s="4">
        <v>46011</v>
      </c>
      <c r="L20" s="1" t="s">
        <v>51</v>
      </c>
      <c r="M20" s="1" t="s">
        <v>14</v>
      </c>
    </row>
    <row r="21" spans="1:13" x14ac:dyDescent="0.25">
      <c r="A21" s="1">
        <v>20</v>
      </c>
      <c r="B21" s="43" t="s">
        <v>25</v>
      </c>
      <c r="C21" s="44" t="s">
        <v>45</v>
      </c>
      <c r="D21" s="45">
        <v>50000</v>
      </c>
      <c r="E21" s="45">
        <v>50000</v>
      </c>
      <c r="F21" s="45">
        <f t="shared" ref="F21" si="27">(D21+I21)-E21</f>
        <v>0</v>
      </c>
      <c r="G21" s="45">
        <v>0</v>
      </c>
      <c r="H21" s="46">
        <v>0</v>
      </c>
      <c r="I21" s="45">
        <f t="shared" ref="I21" si="28">D21*H21</f>
        <v>0</v>
      </c>
      <c r="J21" s="47">
        <v>46004</v>
      </c>
      <c r="K21" s="47">
        <v>46005</v>
      </c>
      <c r="L21" s="44"/>
      <c r="M21" s="44" t="s">
        <v>99</v>
      </c>
    </row>
    <row r="22" spans="1:13" x14ac:dyDescent="0.25">
      <c r="A22" s="1">
        <v>21</v>
      </c>
      <c r="B22" s="28"/>
      <c r="C22" s="1"/>
      <c r="D22" s="39"/>
      <c r="E22" s="39"/>
      <c r="F22" s="39"/>
      <c r="G22" s="39"/>
      <c r="H22" s="28"/>
      <c r="I22" s="39"/>
      <c r="J22" s="28"/>
      <c r="K22" s="29"/>
      <c r="L22" s="28"/>
      <c r="M22" s="28"/>
    </row>
    <row r="23" spans="1:13" ht="24" x14ac:dyDescent="0.25">
      <c r="B23" s="40" t="s">
        <v>33</v>
      </c>
      <c r="C23" s="40"/>
      <c r="D23" s="49" t="s">
        <v>34</v>
      </c>
      <c r="E23" s="49"/>
      <c r="F23" s="49"/>
      <c r="G23" s="49"/>
    </row>
    <row r="24" spans="1:13" x14ac:dyDescent="0.25">
      <c r="D24" s="48" t="s">
        <v>28</v>
      </c>
      <c r="E24" s="48"/>
      <c r="F24" s="41">
        <f>SUM(D2:D22)</f>
        <v>1740000</v>
      </c>
      <c r="G24" s="42"/>
      <c r="J24" s="42"/>
    </row>
    <row r="25" spans="1:13" x14ac:dyDescent="0.25">
      <c r="D25" s="48" t="s">
        <v>29</v>
      </c>
      <c r="E25" s="48"/>
      <c r="F25" s="41">
        <f>SUM(E2:E22)</f>
        <v>184000</v>
      </c>
      <c r="G25" s="42"/>
      <c r="M25" s="30" t="s">
        <v>42</v>
      </c>
    </row>
    <row r="26" spans="1:13" x14ac:dyDescent="0.25">
      <c r="D26" s="48" t="s">
        <v>27</v>
      </c>
      <c r="E26" s="48"/>
      <c r="F26" s="41">
        <f>-SUM(F2:F22)</f>
        <v>-1608500</v>
      </c>
      <c r="G26" s="42"/>
    </row>
    <row r="28" spans="1:13" x14ac:dyDescent="0.25">
      <c r="D28" s="30">
        <f>340+50+100</f>
        <v>490</v>
      </c>
      <c r="F28" s="42"/>
      <c r="G28" s="42"/>
    </row>
    <row r="29" spans="1:13" x14ac:dyDescent="0.25">
      <c r="F29" s="42"/>
      <c r="G29" s="42"/>
    </row>
    <row r="30" spans="1:13" x14ac:dyDescent="0.25">
      <c r="F30" s="42"/>
      <c r="G30" s="42"/>
    </row>
    <row r="31" spans="1:13" x14ac:dyDescent="0.25">
      <c r="F31" s="42"/>
    </row>
    <row r="32" spans="1:13" x14ac:dyDescent="0.25">
      <c r="F32" s="42"/>
    </row>
  </sheetData>
  <mergeCells count="4">
    <mergeCell ref="D24:E24"/>
    <mergeCell ref="D25:E25"/>
    <mergeCell ref="D26:E26"/>
    <mergeCell ref="D23:G23"/>
  </mergeCells>
  <phoneticPr fontId="1" type="noConversion"/>
  <hyperlinks>
    <hyperlink ref="D23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1"/>
  <sheetViews>
    <sheetView topLeftCell="A60" workbookViewId="0">
      <selection activeCell="B78" sqref="B78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56</v>
      </c>
      <c r="B1" s="21" t="s">
        <v>1</v>
      </c>
      <c r="C1" s="21" t="s">
        <v>57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88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88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44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88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52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45</v>
      </c>
    </row>
    <row r="72" spans="1:4" ht="18.75" x14ac:dyDescent="0.25">
      <c r="A72" s="24">
        <v>46005</v>
      </c>
      <c r="B72" s="22" t="s">
        <v>55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/>
      <c r="B75" s="22"/>
      <c r="C75" s="23"/>
      <c r="D75" s="26"/>
    </row>
    <row r="76" spans="1:4" ht="18.75" x14ac:dyDescent="0.25">
      <c r="A76" s="24"/>
      <c r="B76" s="22"/>
      <c r="C76" s="23"/>
      <c r="D76" s="26"/>
    </row>
    <row r="77" spans="1:4" ht="18.75" x14ac:dyDescent="0.25">
      <c r="A77" s="24"/>
      <c r="B77" s="22"/>
      <c r="C77" s="23"/>
      <c r="D77" s="26"/>
    </row>
    <row r="78" spans="1:4" ht="18.75" x14ac:dyDescent="0.25">
      <c r="A78" s="24"/>
      <c r="B78" s="22"/>
      <c r="C78" s="23"/>
      <c r="D78" s="26"/>
    </row>
    <row r="79" spans="1:4" ht="18.75" x14ac:dyDescent="0.25">
      <c r="A79" s="24"/>
      <c r="B79" s="22"/>
      <c r="C79" s="23"/>
      <c r="D79" s="26"/>
    </row>
    <row r="80" spans="1:4" ht="18.75" x14ac:dyDescent="0.25">
      <c r="A80" s="24"/>
      <c r="B80" s="22"/>
      <c r="C80" s="23"/>
      <c r="D80" s="26"/>
    </row>
    <row r="81" spans="1:4" ht="18.75" x14ac:dyDescent="0.25">
      <c r="A81" s="24"/>
      <c r="B81" s="22"/>
      <c r="C81" s="23"/>
      <c r="D8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Normal="100" workbookViewId="0">
      <pane ySplit="1" topLeftCell="A18" activePane="bottomLeft" state="frozen"/>
      <selection pane="bottomLeft" activeCell="D35" sqref="D35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52</v>
      </c>
      <c r="U1" s="17" t="s">
        <v>55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700000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5000</v>
      </c>
      <c r="L43" s="12">
        <f t="shared" si="0"/>
        <v>600000</v>
      </c>
      <c r="M43" s="12">
        <f t="shared" si="0"/>
        <v>115000</v>
      </c>
      <c r="N43" s="12">
        <f t="shared" si="0"/>
        <v>60000</v>
      </c>
      <c r="O43" s="12">
        <f t="shared" si="0"/>
        <v>250000</v>
      </c>
      <c r="P43" s="12">
        <f t="shared" si="0"/>
        <v>350000</v>
      </c>
      <c r="Q43" s="12">
        <f t="shared" si="0"/>
        <v>5000</v>
      </c>
      <c r="R43" s="12">
        <f t="shared" si="0"/>
        <v>1385000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D78"/>
  <sheetViews>
    <sheetView topLeftCell="A2" workbookViewId="0">
      <selection activeCell="C18" sqref="C17:C18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4" ht="18.75" x14ac:dyDescent="0.25">
      <c r="A1" s="18" t="s">
        <v>56</v>
      </c>
      <c r="B1" s="18" t="s">
        <v>1</v>
      </c>
      <c r="C1" s="18" t="s">
        <v>57</v>
      </c>
      <c r="D1" s="18" t="s">
        <v>2</v>
      </c>
    </row>
    <row r="2" spans="1:4" ht="18.75" x14ac:dyDescent="0.25">
      <c r="A2" s="19" t="s">
        <v>58</v>
      </c>
      <c r="B2" s="19" t="s">
        <v>8</v>
      </c>
      <c r="C2" s="25" t="s">
        <v>59</v>
      </c>
      <c r="D2" s="19"/>
    </row>
    <row r="3" spans="1:4" ht="18.75" x14ac:dyDescent="0.25">
      <c r="A3" s="19" t="s">
        <v>58</v>
      </c>
      <c r="B3" s="19" t="s">
        <v>25</v>
      </c>
      <c r="C3" s="25" t="s">
        <v>59</v>
      </c>
      <c r="D3" s="19"/>
    </row>
    <row r="4" spans="1:4" ht="18.75" x14ac:dyDescent="0.25">
      <c r="A4" s="19" t="s">
        <v>60</v>
      </c>
      <c r="B4" s="19" t="s">
        <v>18</v>
      </c>
      <c r="C4" s="25" t="s">
        <v>61</v>
      </c>
      <c r="D4" s="19"/>
    </row>
    <row r="5" spans="1:4" ht="18.75" x14ac:dyDescent="0.25">
      <c r="A5" s="19" t="s">
        <v>62</v>
      </c>
      <c r="B5" s="19" t="s">
        <v>20</v>
      </c>
      <c r="C5" s="25" t="s">
        <v>59</v>
      </c>
      <c r="D5" s="19"/>
    </row>
    <row r="6" spans="1:4" ht="18.75" x14ac:dyDescent="0.25">
      <c r="A6" s="19" t="s">
        <v>62</v>
      </c>
      <c r="B6" s="19" t="s">
        <v>17</v>
      </c>
      <c r="C6" s="25" t="s">
        <v>63</v>
      </c>
      <c r="D6" s="19"/>
    </row>
    <row r="7" spans="1:4" ht="18.75" x14ac:dyDescent="0.25">
      <c r="A7" s="19" t="s">
        <v>62</v>
      </c>
      <c r="B7" s="19" t="s">
        <v>15</v>
      </c>
      <c r="C7" s="25" t="s">
        <v>64</v>
      </c>
      <c r="D7" s="19"/>
    </row>
    <row r="8" spans="1:4" ht="18.75" x14ac:dyDescent="0.25">
      <c r="A8" s="19" t="s">
        <v>62</v>
      </c>
      <c r="B8" s="19" t="s">
        <v>19</v>
      </c>
      <c r="C8" s="25" t="s">
        <v>65</v>
      </c>
      <c r="D8" s="19"/>
    </row>
    <row r="9" spans="1:4" ht="18.75" x14ac:dyDescent="0.25">
      <c r="A9" s="19" t="s">
        <v>62</v>
      </c>
      <c r="B9" s="19" t="s">
        <v>21</v>
      </c>
      <c r="C9" s="25" t="s">
        <v>66</v>
      </c>
      <c r="D9" s="19"/>
    </row>
    <row r="10" spans="1:4" ht="18.75" x14ac:dyDescent="0.25">
      <c r="A10" s="19" t="s">
        <v>62</v>
      </c>
      <c r="B10" s="19" t="s">
        <v>22</v>
      </c>
      <c r="C10" s="25" t="s">
        <v>67</v>
      </c>
      <c r="D10" s="19"/>
    </row>
    <row r="11" spans="1:4" ht="18.75" x14ac:dyDescent="0.25">
      <c r="A11" s="19" t="s">
        <v>68</v>
      </c>
      <c r="B11" s="19" t="s">
        <v>23</v>
      </c>
      <c r="C11" s="25" t="s">
        <v>69</v>
      </c>
      <c r="D11" s="19"/>
    </row>
    <row r="12" spans="1:4" ht="18.75" x14ac:dyDescent="0.25">
      <c r="A12" s="19" t="s">
        <v>70</v>
      </c>
      <c r="B12" s="19" t="s">
        <v>18</v>
      </c>
      <c r="C12" s="25" t="s">
        <v>71</v>
      </c>
      <c r="D12" s="19"/>
    </row>
    <row r="13" spans="1:4" ht="18.75" x14ac:dyDescent="0.25">
      <c r="A13" s="19" t="s">
        <v>72</v>
      </c>
      <c r="B13" s="19" t="s">
        <v>8</v>
      </c>
      <c r="C13" s="25" t="s">
        <v>61</v>
      </c>
      <c r="D13" s="19"/>
    </row>
    <row r="14" spans="1:4" ht="18.75" x14ac:dyDescent="0.25">
      <c r="A14" s="19" t="s">
        <v>72</v>
      </c>
      <c r="B14" s="19" t="s">
        <v>17</v>
      </c>
      <c r="C14" s="25" t="s">
        <v>73</v>
      </c>
      <c r="D14" s="19"/>
    </row>
    <row r="15" spans="1:4" ht="18.75" x14ac:dyDescent="0.25">
      <c r="A15" s="19" t="s">
        <v>72</v>
      </c>
      <c r="B15" s="19" t="s">
        <v>26</v>
      </c>
      <c r="C15" s="25" t="s">
        <v>74</v>
      </c>
      <c r="D15" s="19"/>
    </row>
    <row r="16" spans="1:4" ht="18.75" x14ac:dyDescent="0.25">
      <c r="A16" s="19" t="s">
        <v>75</v>
      </c>
      <c r="B16" s="19" t="s">
        <v>8</v>
      </c>
      <c r="C16" s="25" t="s">
        <v>74</v>
      </c>
      <c r="D16" s="19"/>
    </row>
    <row r="17" spans="1:4" ht="18.75" x14ac:dyDescent="0.25">
      <c r="A17" s="19" t="s">
        <v>75</v>
      </c>
      <c r="B17" s="19" t="s">
        <v>20</v>
      </c>
      <c r="C17" s="25" t="s">
        <v>59</v>
      </c>
      <c r="D17" s="19"/>
    </row>
    <row r="18" spans="1:4" ht="18.75" x14ac:dyDescent="0.25">
      <c r="A18" s="19" t="s">
        <v>75</v>
      </c>
      <c r="B18" s="19" t="s">
        <v>17</v>
      </c>
      <c r="C18" s="25" t="s">
        <v>76</v>
      </c>
      <c r="D18" s="19"/>
    </row>
    <row r="19" spans="1:4" ht="18.75" x14ac:dyDescent="0.25">
      <c r="A19" s="19" t="s">
        <v>75</v>
      </c>
      <c r="B19" s="19" t="s">
        <v>15</v>
      </c>
      <c r="C19" s="25" t="s">
        <v>66</v>
      </c>
      <c r="D19" s="19"/>
    </row>
    <row r="20" spans="1:4" ht="18.75" x14ac:dyDescent="0.25">
      <c r="A20" s="19" t="s">
        <v>75</v>
      </c>
      <c r="B20" s="19" t="s">
        <v>21</v>
      </c>
      <c r="C20" s="25" t="s">
        <v>61</v>
      </c>
      <c r="D20" s="19"/>
    </row>
    <row r="21" spans="1:4" ht="18.75" x14ac:dyDescent="0.25">
      <c r="A21" s="19" t="s">
        <v>75</v>
      </c>
      <c r="B21" s="19" t="s">
        <v>26</v>
      </c>
      <c r="C21" s="25" t="s">
        <v>77</v>
      </c>
      <c r="D21" s="19"/>
    </row>
    <row r="22" spans="1:4" ht="18.75" x14ac:dyDescent="0.25">
      <c r="A22" s="19" t="s">
        <v>78</v>
      </c>
      <c r="B22" s="19" t="s">
        <v>20</v>
      </c>
      <c r="C22" s="25" t="s">
        <v>61</v>
      </c>
      <c r="D22" s="19"/>
    </row>
    <row r="23" spans="1:4" ht="18.75" x14ac:dyDescent="0.25">
      <c r="A23" s="19" t="s">
        <v>79</v>
      </c>
      <c r="B23" s="19" t="s">
        <v>17</v>
      </c>
      <c r="C23" s="25" t="s">
        <v>80</v>
      </c>
      <c r="D23" s="19"/>
    </row>
    <row r="24" spans="1:4" ht="18.75" x14ac:dyDescent="0.25">
      <c r="A24" s="19" t="s">
        <v>81</v>
      </c>
      <c r="B24" s="19" t="s">
        <v>25</v>
      </c>
      <c r="C24" s="25" t="s">
        <v>82</v>
      </c>
      <c r="D24" s="19"/>
    </row>
    <row r="25" spans="1:4" ht="18.75" x14ac:dyDescent="0.25">
      <c r="A25" s="19" t="s">
        <v>81</v>
      </c>
      <c r="B25" s="19" t="s">
        <v>39</v>
      </c>
      <c r="C25" s="25" t="s">
        <v>74</v>
      </c>
      <c r="D25" s="19"/>
    </row>
    <row r="26" spans="1:4" ht="18.75" x14ac:dyDescent="0.25">
      <c r="A26" s="19" t="s">
        <v>83</v>
      </c>
      <c r="B26" s="19" t="s">
        <v>20</v>
      </c>
      <c r="C26" s="25" t="s">
        <v>59</v>
      </c>
      <c r="D26" s="19"/>
    </row>
    <row r="27" spans="1:4" ht="18.75" x14ac:dyDescent="0.25">
      <c r="A27" s="19" t="s">
        <v>83</v>
      </c>
      <c r="B27" s="19" t="s">
        <v>26</v>
      </c>
      <c r="C27" s="25" t="s">
        <v>84</v>
      </c>
      <c r="D27" s="19"/>
    </row>
    <row r="28" spans="1:4" ht="18.75" x14ac:dyDescent="0.25">
      <c r="A28" s="20">
        <v>45669</v>
      </c>
      <c r="B28" s="19" t="s">
        <v>17</v>
      </c>
      <c r="C28" s="25" t="s">
        <v>67</v>
      </c>
      <c r="D28" s="19"/>
    </row>
    <row r="29" spans="1:4" ht="18.75" x14ac:dyDescent="0.25">
      <c r="A29" s="20">
        <v>45669</v>
      </c>
      <c r="B29" s="19" t="s">
        <v>26</v>
      </c>
      <c r="C29" s="25" t="s">
        <v>67</v>
      </c>
      <c r="D29" s="19"/>
    </row>
    <row r="30" spans="1:4" ht="18.75" x14ac:dyDescent="0.25">
      <c r="A30" s="20">
        <v>45669</v>
      </c>
      <c r="B30" s="19" t="s">
        <v>22</v>
      </c>
      <c r="C30" s="25" t="s">
        <v>67</v>
      </c>
      <c r="D30" s="19"/>
    </row>
    <row r="31" spans="1:4" ht="18.75" x14ac:dyDescent="0.25">
      <c r="A31" s="20">
        <v>45700</v>
      </c>
      <c r="B31" s="19" t="s">
        <v>20</v>
      </c>
      <c r="C31" s="25" t="s">
        <v>61</v>
      </c>
      <c r="D31" s="19"/>
    </row>
    <row r="32" spans="1:4" ht="18.75" x14ac:dyDescent="0.25">
      <c r="A32" s="20">
        <v>45700</v>
      </c>
      <c r="B32" s="19" t="s">
        <v>17</v>
      </c>
      <c r="C32" s="25" t="s">
        <v>85</v>
      </c>
      <c r="D32" s="19"/>
    </row>
    <row r="33" spans="1:4" ht="18.75" x14ac:dyDescent="0.25">
      <c r="A33" s="20">
        <v>45700</v>
      </c>
      <c r="B33" s="19" t="s">
        <v>15</v>
      </c>
      <c r="C33" s="25" t="s">
        <v>86</v>
      </c>
      <c r="D33" s="19"/>
    </row>
    <row r="34" spans="1:4" ht="18.75" x14ac:dyDescent="0.25">
      <c r="A34" s="20">
        <v>45700</v>
      </c>
      <c r="B34" s="19" t="s">
        <v>36</v>
      </c>
      <c r="C34" s="25" t="s">
        <v>67</v>
      </c>
      <c r="D34" s="19"/>
    </row>
    <row r="35" spans="1:4" ht="18.75" x14ac:dyDescent="0.25">
      <c r="A35" s="20">
        <v>45700</v>
      </c>
      <c r="B35" s="19" t="s">
        <v>21</v>
      </c>
      <c r="C35" s="25" t="s">
        <v>67</v>
      </c>
      <c r="D35" s="19"/>
    </row>
    <row r="36" spans="1:4" ht="18.75" x14ac:dyDescent="0.25">
      <c r="A36" s="20">
        <v>45700</v>
      </c>
      <c r="B36" s="19" t="s">
        <v>35</v>
      </c>
      <c r="C36" s="25" t="s">
        <v>67</v>
      </c>
      <c r="D36" s="19"/>
    </row>
    <row r="37" spans="1:4" ht="18.75" x14ac:dyDescent="0.25">
      <c r="A37" s="20">
        <v>45728</v>
      </c>
      <c r="B37" s="19" t="s">
        <v>20</v>
      </c>
      <c r="C37" s="25" t="s">
        <v>59</v>
      </c>
      <c r="D37" s="19"/>
    </row>
    <row r="38" spans="1:4" ht="18.75" x14ac:dyDescent="0.25">
      <c r="A38" s="20">
        <v>45728</v>
      </c>
      <c r="B38" s="19" t="s">
        <v>15</v>
      </c>
      <c r="C38" s="25" t="s">
        <v>66</v>
      </c>
      <c r="D38" s="19"/>
    </row>
    <row r="39" spans="1:4" ht="18.75" x14ac:dyDescent="0.25">
      <c r="A39" s="20">
        <v>45728</v>
      </c>
      <c r="B39" s="19" t="s">
        <v>21</v>
      </c>
      <c r="C39" s="25" t="s">
        <v>85</v>
      </c>
      <c r="D39" s="19"/>
    </row>
    <row r="40" spans="1:4" ht="18.75" x14ac:dyDescent="0.25">
      <c r="A40" s="20">
        <v>45759</v>
      </c>
      <c r="B40" s="19" t="s">
        <v>20</v>
      </c>
      <c r="C40" s="25" t="s">
        <v>59</v>
      </c>
      <c r="D40" s="19"/>
    </row>
    <row r="41" spans="1:4" ht="18.75" x14ac:dyDescent="0.25">
      <c r="A41" s="20">
        <v>45759</v>
      </c>
      <c r="B41" s="19" t="s">
        <v>17</v>
      </c>
      <c r="C41" s="25" t="s">
        <v>66</v>
      </c>
      <c r="D41" s="19"/>
    </row>
    <row r="42" spans="1:4" ht="18.75" x14ac:dyDescent="0.25">
      <c r="A42" s="20">
        <v>45789</v>
      </c>
      <c r="B42" s="19" t="s">
        <v>37</v>
      </c>
      <c r="C42" s="25" t="s">
        <v>67</v>
      </c>
      <c r="D42" s="19"/>
    </row>
    <row r="43" spans="1:4" ht="18.75" x14ac:dyDescent="0.25">
      <c r="A43" s="20">
        <v>45789</v>
      </c>
      <c r="B43" s="19" t="s">
        <v>26</v>
      </c>
      <c r="C43" s="25" t="s">
        <v>87</v>
      </c>
      <c r="D43" s="19"/>
    </row>
    <row r="44" spans="1:4" ht="18.75" x14ac:dyDescent="0.25">
      <c r="A44" s="20">
        <v>45789</v>
      </c>
      <c r="B44" s="19" t="s">
        <v>88</v>
      </c>
      <c r="C44" s="25" t="s">
        <v>89</v>
      </c>
      <c r="D44" s="19"/>
    </row>
    <row r="45" spans="1:4" ht="18.75" x14ac:dyDescent="0.25">
      <c r="A45" s="20">
        <v>45820</v>
      </c>
      <c r="B45" s="19" t="s">
        <v>8</v>
      </c>
      <c r="C45" s="25" t="s">
        <v>59</v>
      </c>
      <c r="D45" s="19"/>
    </row>
    <row r="46" spans="1:4" ht="18.75" x14ac:dyDescent="0.25">
      <c r="A46" s="20">
        <v>45820</v>
      </c>
      <c r="B46" s="19" t="s">
        <v>41</v>
      </c>
      <c r="C46" s="25" t="s">
        <v>74</v>
      </c>
      <c r="D46" s="19"/>
    </row>
    <row r="47" spans="1:4" ht="18.75" x14ac:dyDescent="0.25">
      <c r="A47" s="20">
        <v>45820</v>
      </c>
      <c r="B47" s="19" t="s">
        <v>25</v>
      </c>
      <c r="C47" s="25" t="s">
        <v>90</v>
      </c>
      <c r="D47" s="19"/>
    </row>
    <row r="48" spans="1:4" ht="18.75" x14ac:dyDescent="0.25">
      <c r="A48" s="20">
        <v>45820</v>
      </c>
      <c r="B48" s="19" t="s">
        <v>18</v>
      </c>
      <c r="C48" s="25" t="s">
        <v>91</v>
      </c>
      <c r="D48" s="19"/>
    </row>
    <row r="49" spans="1:4" ht="18.75" x14ac:dyDescent="0.25">
      <c r="A49" s="20">
        <v>45850</v>
      </c>
      <c r="B49" s="19" t="s">
        <v>88</v>
      </c>
      <c r="C49" s="25" t="s">
        <v>59</v>
      </c>
      <c r="D49" s="19"/>
    </row>
    <row r="50" spans="1:4" ht="18.75" x14ac:dyDescent="0.25">
      <c r="A50" s="20">
        <v>45881</v>
      </c>
      <c r="B50" s="19" t="s">
        <v>8</v>
      </c>
      <c r="C50" s="25" t="s">
        <v>92</v>
      </c>
      <c r="D50" s="19"/>
    </row>
    <row r="51" spans="1:4" ht="18.75" x14ac:dyDescent="0.25">
      <c r="A51" s="20">
        <v>45881</v>
      </c>
      <c r="B51" s="19" t="s">
        <v>41</v>
      </c>
      <c r="C51" s="25" t="s">
        <v>74</v>
      </c>
      <c r="D51" s="19"/>
    </row>
    <row r="52" spans="1:4" ht="18.75" x14ac:dyDescent="0.25">
      <c r="A52" s="20">
        <v>45881</v>
      </c>
      <c r="B52" s="19" t="s">
        <v>20</v>
      </c>
      <c r="C52" s="25" t="s">
        <v>59</v>
      </c>
      <c r="D52" s="19"/>
    </row>
    <row r="53" spans="1:4" ht="18.75" x14ac:dyDescent="0.25">
      <c r="A53" s="20">
        <v>45912</v>
      </c>
      <c r="B53" s="19" t="s">
        <v>19</v>
      </c>
      <c r="C53" s="25" t="s">
        <v>74</v>
      </c>
      <c r="D53" s="19"/>
    </row>
    <row r="54" spans="1:4" ht="18.75" x14ac:dyDescent="0.25">
      <c r="A54" s="20">
        <v>45912</v>
      </c>
      <c r="B54" s="19" t="s">
        <v>26</v>
      </c>
      <c r="C54" s="25" t="s">
        <v>93</v>
      </c>
      <c r="D54" s="19"/>
    </row>
    <row r="55" spans="1:4" ht="18.75" x14ac:dyDescent="0.25">
      <c r="A55" s="20">
        <v>45942</v>
      </c>
      <c r="B55" s="19" t="s">
        <v>8</v>
      </c>
      <c r="C55" s="25" t="s">
        <v>59</v>
      </c>
      <c r="D55" s="19"/>
    </row>
    <row r="56" spans="1:4" ht="18.75" x14ac:dyDescent="0.25">
      <c r="A56" s="20">
        <v>45942</v>
      </c>
      <c r="B56" s="19" t="s">
        <v>44</v>
      </c>
      <c r="C56" s="25" t="s">
        <v>66</v>
      </c>
      <c r="D56" s="19"/>
    </row>
    <row r="57" spans="1:4" ht="18.75" x14ac:dyDescent="0.25">
      <c r="A57" s="20">
        <v>45942</v>
      </c>
      <c r="B57" s="19" t="s">
        <v>20</v>
      </c>
      <c r="C57" s="25" t="s">
        <v>94</v>
      </c>
      <c r="D57" s="19"/>
    </row>
    <row r="58" spans="1:4" ht="18.75" x14ac:dyDescent="0.25">
      <c r="A58" s="20">
        <v>45942</v>
      </c>
      <c r="B58" s="19" t="s">
        <v>26</v>
      </c>
      <c r="C58" s="25" t="s">
        <v>61</v>
      </c>
      <c r="D58" s="19"/>
    </row>
    <row r="59" spans="1:4" ht="18.75" x14ac:dyDescent="0.25">
      <c r="A59" s="20">
        <v>45973</v>
      </c>
      <c r="B59" s="19" t="s">
        <v>19</v>
      </c>
      <c r="C59" s="25" t="s">
        <v>59</v>
      </c>
      <c r="D59" s="19"/>
    </row>
    <row r="60" spans="1:4" ht="18.75" x14ac:dyDescent="0.25">
      <c r="A60" s="20">
        <v>45973</v>
      </c>
      <c r="B60" s="19" t="s">
        <v>26</v>
      </c>
      <c r="C60" s="25" t="s">
        <v>92</v>
      </c>
      <c r="D60" s="19"/>
    </row>
    <row r="61" spans="1:4" ht="18.75" x14ac:dyDescent="0.25">
      <c r="A61" s="20">
        <v>46003</v>
      </c>
      <c r="B61" s="19" t="s">
        <v>8</v>
      </c>
      <c r="C61" s="25" t="s">
        <v>61</v>
      </c>
      <c r="D61" s="19"/>
    </row>
    <row r="62" spans="1:4" ht="18.75" x14ac:dyDescent="0.25">
      <c r="A62" s="20">
        <v>46003</v>
      </c>
      <c r="B62" s="19" t="s">
        <v>22</v>
      </c>
      <c r="C62" s="25" t="s">
        <v>66</v>
      </c>
      <c r="D62" s="19"/>
    </row>
    <row r="63" spans="1:4" ht="18.75" x14ac:dyDescent="0.25">
      <c r="A63" s="20">
        <v>46003</v>
      </c>
      <c r="B63" s="19" t="s">
        <v>26</v>
      </c>
      <c r="C63" s="25" t="s">
        <v>95</v>
      </c>
      <c r="D63" s="19"/>
    </row>
    <row r="64" spans="1:4" ht="18.75" x14ac:dyDescent="0.25">
      <c r="A64" s="20">
        <v>46003</v>
      </c>
      <c r="B64" s="19" t="s">
        <v>39</v>
      </c>
      <c r="C64" s="25" t="s">
        <v>94</v>
      </c>
      <c r="D64" s="19"/>
    </row>
    <row r="65" spans="1:4" ht="18.75" x14ac:dyDescent="0.25">
      <c r="A65" s="20">
        <v>46003</v>
      </c>
      <c r="B65" s="19" t="s">
        <v>88</v>
      </c>
      <c r="C65" s="25" t="s">
        <v>96</v>
      </c>
      <c r="D65" s="19"/>
    </row>
    <row r="66" spans="1:4" ht="18.75" x14ac:dyDescent="0.25">
      <c r="A66" s="19" t="s">
        <v>97</v>
      </c>
      <c r="B66" s="19" t="s">
        <v>8</v>
      </c>
      <c r="C66" s="25" t="s">
        <v>61</v>
      </c>
      <c r="D66" s="19"/>
    </row>
    <row r="67" spans="1:4" ht="18.75" x14ac:dyDescent="0.25">
      <c r="A67" s="19" t="s">
        <v>97</v>
      </c>
      <c r="B67" s="19" t="s">
        <v>41</v>
      </c>
      <c r="C67" s="25" t="s">
        <v>59</v>
      </c>
      <c r="D67" s="19"/>
    </row>
    <row r="68" spans="1:4" ht="18.75" x14ac:dyDescent="0.25">
      <c r="A68" s="19" t="s">
        <v>97</v>
      </c>
      <c r="B68" s="19" t="s">
        <v>17</v>
      </c>
      <c r="C68" s="25" t="s">
        <v>66</v>
      </c>
      <c r="D68" s="19"/>
    </row>
    <row r="69" spans="1:4" ht="18.75" x14ac:dyDescent="0.25">
      <c r="A69" s="19" t="s">
        <v>97</v>
      </c>
      <c r="B69" s="19" t="s">
        <v>18</v>
      </c>
      <c r="C69" s="25" t="s">
        <v>61</v>
      </c>
      <c r="D69" s="19"/>
    </row>
    <row r="70" spans="1:4" ht="18.75" x14ac:dyDescent="0.25">
      <c r="A70" s="19" t="s">
        <v>97</v>
      </c>
      <c r="B70" s="19" t="s">
        <v>52</v>
      </c>
      <c r="C70" s="25" t="s">
        <v>61</v>
      </c>
      <c r="D70" s="19"/>
    </row>
    <row r="71" spans="1:4" ht="18.75" x14ac:dyDescent="0.25">
      <c r="A71" s="19" t="s">
        <v>98</v>
      </c>
      <c r="B71" s="19" t="s">
        <v>55</v>
      </c>
      <c r="C71" s="25" t="s">
        <v>61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Sheet4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2025-12-14T13:28:00Z</dcterms:modified>
</cp:coreProperties>
</file>