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09EC3092-6EBB-4CE7-BEC6-7C3EE0553AB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NỢ'!$A$1:$M$48</definedName>
    <definedName name="_xlnm._FilterDatabase" localSheetId="2" hidden="1">'THỐNG KÊ NẠP'!$A$1:$U$41</definedName>
    <definedName name="_xlnm._FilterDatabase" localSheetId="1" hidden="1">'THONG KE NAP '!$A$1:$D$237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3" l="1"/>
  <c r="I37" i="3"/>
  <c r="F38" i="3"/>
  <c r="I38" i="3"/>
  <c r="E51" i="3"/>
  <c r="E52" i="3"/>
  <c r="I36" i="3"/>
  <c r="F36" i="3" s="1"/>
  <c r="I35" i="3"/>
  <c r="F35" i="3" s="1"/>
  <c r="E31" i="3"/>
  <c r="I34" i="3"/>
  <c r="F34" i="3" s="1"/>
  <c r="I22" i="3"/>
  <c r="F22" i="3" s="1"/>
  <c r="I33" i="3"/>
  <c r="F33" i="3" s="1"/>
  <c r="I24" i="3"/>
  <c r="F24" i="3" s="1"/>
  <c r="I25" i="3"/>
  <c r="F25" i="3" s="1"/>
  <c r="I27" i="3"/>
  <c r="F27" i="3" s="1"/>
  <c r="I28" i="3"/>
  <c r="F28" i="3" s="1"/>
  <c r="I29" i="3"/>
  <c r="F29" i="3" s="1"/>
  <c r="I30" i="3"/>
  <c r="F30" i="3" s="1"/>
  <c r="D31" i="3"/>
  <c r="I31" i="3" s="1"/>
  <c r="D26" i="3"/>
  <c r="I26" i="3" s="1"/>
  <c r="F26" i="3" s="1"/>
  <c r="D23" i="3"/>
  <c r="I23" i="3" s="1"/>
  <c r="D21" i="3"/>
  <c r="I21" i="3" s="1"/>
  <c r="I18" i="3"/>
  <c r="F18" i="3" s="1"/>
  <c r="I19" i="3"/>
  <c r="F19" i="3" s="1"/>
  <c r="I20" i="3"/>
  <c r="F20" i="3" s="1"/>
  <c r="I15" i="3"/>
  <c r="F15" i="3" s="1"/>
  <c r="I16" i="3"/>
  <c r="F16" i="3" s="1"/>
  <c r="I17" i="3"/>
  <c r="F17" i="3" s="1"/>
  <c r="E9" i="3"/>
  <c r="I14" i="3"/>
  <c r="F14" i="3" s="1"/>
  <c r="I12" i="3"/>
  <c r="F12" i="3" s="1"/>
  <c r="I13" i="3"/>
  <c r="F13" i="3" s="1"/>
  <c r="I11" i="3"/>
  <c r="F11" i="3" s="1"/>
  <c r="I10" i="3"/>
  <c r="F10" i="3" s="1"/>
  <c r="I9" i="3"/>
  <c r="I8" i="3"/>
  <c r="F8" i="3" s="1"/>
  <c r="I7" i="3"/>
  <c r="F7" i="3" s="1"/>
  <c r="I6" i="3"/>
  <c r="F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31" i="3" l="1"/>
  <c r="I32" i="3"/>
  <c r="F32" i="3" s="1"/>
  <c r="F21" i="3"/>
  <c r="F23" i="3"/>
  <c r="F9" i="3"/>
  <c r="F47" i="3"/>
  <c r="F46" i="3"/>
  <c r="R43" i="4"/>
  <c r="F3" i="3"/>
  <c r="F49" i="3" l="1"/>
  <c r="F48" i="3"/>
</calcChain>
</file>

<file path=xl/sharedStrings.xml><?xml version="1.0" encoding="utf-8"?>
<sst xmlns="http://schemas.openxmlformats.org/spreadsheetml/2006/main" count="680" uniqueCount="80">
  <si>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</si>
  <si>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</si>
  <si>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</si>
  <si>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</si>
  <si>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</si>
  <si>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</si>
  <si>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</si>
  <si>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</si>
  <si>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</si>
  <si>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</si>
  <si>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</si>
  <si>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</si>
  <si>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</si>
  <si>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</si>
  <si>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</si>
  <si>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</si>
  <si>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</si>
  <si>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</si>
  <si>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</si>
  <si>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</si>
  <si>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</si>
  <si>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</si>
  <si>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</si>
  <si>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</si>
  <si>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</si>
  <si>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</si>
  <si>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</si>
  <si>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</si>
  <si>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</si>
  <si>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</si>
  <si>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</si>
  <si>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</si>
  <si>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</si>
  <si>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</si>
  <si>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</si>
  <si>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</si>
  <si>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</si>
  <si>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</si>
  <si>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</si>
  <si>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</si>
  <si>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</si>
  <si>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</si>
  <si>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</si>
  <si>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</si>
  <si>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</si>
  <si>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</si>
  <si>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</si>
  <si>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</si>
  <si>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</si>
  <si>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</si>
  <si>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</si>
  <si>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</si>
  <si>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</si>
  <si>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</si>
  <si>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</si>
  <si>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</si>
  <si>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</si>
  <si>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</si>
  <si>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</si>
  <si>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</si>
  <si>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</si>
  <si>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</si>
  <si>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</si>
  <si>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</si>
  <si>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</si>
  <si>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</si>
  <si>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</si>
  <si>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</si>
  <si>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</si>
  <si>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</si>
  <si>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</si>
  <si>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Trần Minh Đạt</t>
  </si>
  <si>
    <t>https://tinyurl.com/dieukhoan02112026</t>
  </si>
  <si>
    <t>Điền</t>
  </si>
  <si>
    <t>Trần Hoàng Minh</t>
  </si>
  <si>
    <t xml:space="preserve">Nguyễn Hoàng Gia Bảo </t>
  </si>
  <si>
    <t>Nguyễn Hoàng Huy</t>
  </si>
  <si>
    <t>Đã trả đủ</t>
  </si>
  <si>
    <t>Mua thẻ Zing + Garena</t>
  </si>
  <si>
    <t>Liêu Thuận Phát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</si>
</sst>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d/m/yyyy;@"/>
    <numFmt numFmtId="165" formatCode="_-* #,##0.000\ [$₫-42A]_-;\-* #,##0.000\ [$₫-42A]_-;_-* &quot;-&quot;???\ [$₫-42A]_-;_-@_-"/>
    <numFmt numFmtId="166" formatCode="_-* #,##0\ [$₫-42A]_-;\-* #,##0\ [$₫-42A]_-;_-* &quot;-&quot;\ [$₫-42A]_-;_-@_-"/>
    <numFmt numFmtId="167" formatCode="_-* #,##0\ [$₫-42A]_-;\-* #,##0\ [$₫-42A]_-;_-* &quot;-&quot;???\ [$₫-42A]_-;_-@_-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name val="Aptos Narrow"/>
      <family val="2"/>
      <scheme val="minor"/>
    </font>
    <font>
      <u/>
      <sz val="15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readingOrder="1"/>
    </xf>
    <xf numFmtId="0" fontId="6" fillId="0" borderId="1" xfId="0" applyFont="1" applyBorder="1" applyAlignment="1">
      <alignment vertical="center" readingOrder="1"/>
    </xf>
    <xf numFmtId="166" fontId="6" fillId="0" borderId="1" xfId="0" applyNumberFormat="1" applyFont="1" applyBorder="1" applyAlignment="1">
      <alignment vertical="center" readingOrder="1"/>
    </xf>
    <xf numFmtId="164" fontId="6" fillId="0" borderId="1" xfId="0" applyNumberFormat="1" applyFont="1" applyBorder="1" applyAlignment="1">
      <alignment vertical="center" readingOrder="1"/>
    </xf>
    <xf numFmtId="0" fontId="6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6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6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6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vertical="center"/>
    </xf>
    <xf numFmtId="9" fontId="9" fillId="5" borderId="1" xfId="0" applyNumberFormat="1" applyFont="1" applyFill="1" applyBorder="1" applyAlignment="1">
      <alignment vertical="center"/>
    </xf>
    <xf numFmtId="164" fontId="9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6" fontId="9" fillId="6" borderId="1" xfId="0" applyNumberFormat="1" applyFont="1" applyFill="1" applyBorder="1" applyAlignment="1">
      <alignment vertical="center"/>
    </xf>
    <xf numFmtId="9" fontId="9" fillId="6" borderId="1" xfId="0" applyNumberFormat="1" applyFont="1" applyFill="1" applyBorder="1" applyAlignment="1">
      <alignment vertical="center"/>
    </xf>
    <xf numFmtId="164" fontId="9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8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66"/>
      <color rgb="FFCC0099"/>
      <color rgb="FFFF1D1D"/>
      <color rgb="FFFF2929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0211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56"/>
  <sheetViews>
    <sheetView tabSelected="1" topLeftCell="A25" zoomScale="85" zoomScaleNormal="85" workbookViewId="0">
      <selection activeCell="H45" sqref="H45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37" t="s">
        <v>18</v>
      </c>
      <c r="C2" s="15" t="s">
        <v>16</v>
      </c>
      <c r="D2" s="31">
        <v>350000</v>
      </c>
      <c r="E2" s="31">
        <v>280000</v>
      </c>
      <c r="F2" s="31">
        <f>(D2+I2)-E2</f>
        <v>262500</v>
      </c>
      <c r="G2" s="31">
        <v>0</v>
      </c>
      <c r="H2" s="32">
        <v>0.55000000000000004</v>
      </c>
      <c r="I2" s="31">
        <f>(D2*H2)</f>
        <v>192500.00000000003</v>
      </c>
      <c r="J2" s="16">
        <v>45984</v>
      </c>
      <c r="K2" s="42">
        <v>46083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29">
        <f>20000+10000</f>
        <v>30000</v>
      </c>
      <c r="E3" s="29">
        <f>10000+5000</f>
        <v>15000</v>
      </c>
      <c r="F3" s="29">
        <f t="shared" ref="F3" si="0">(D3+I3)-E3</f>
        <v>15000</v>
      </c>
      <c r="G3" s="29">
        <v>0</v>
      </c>
      <c r="H3" s="30">
        <v>0</v>
      </c>
      <c r="I3" s="29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58</v>
      </c>
      <c r="C4" s="1" t="s">
        <v>59</v>
      </c>
      <c r="D4" s="27">
        <v>2000</v>
      </c>
      <c r="E4" s="27">
        <v>0</v>
      </c>
      <c r="F4" s="27">
        <f t="shared" ref="F4" si="2">(D4+I4)-E4</f>
        <v>2600</v>
      </c>
      <c r="G4" s="27">
        <v>0</v>
      </c>
      <c r="H4" s="28">
        <v>0.3</v>
      </c>
      <c r="I4" s="27">
        <f t="shared" ref="I4" si="3">D4*H4</f>
        <v>600</v>
      </c>
      <c r="J4" s="4">
        <v>46022</v>
      </c>
      <c r="K4" s="42">
        <v>46083</v>
      </c>
      <c r="L4" s="4"/>
      <c r="M4" s="1" t="s">
        <v>14</v>
      </c>
    </row>
    <row r="5" spans="1:17" x14ac:dyDescent="0.25">
      <c r="A5" s="1">
        <v>4</v>
      </c>
      <c r="B5" s="24" t="s">
        <v>65</v>
      </c>
      <c r="C5" s="1" t="s">
        <v>3</v>
      </c>
      <c r="D5" s="27">
        <v>20000</v>
      </c>
      <c r="E5" s="27">
        <v>0</v>
      </c>
      <c r="F5" s="27">
        <f t="shared" ref="F5:F6" si="4">(D5+I5)-E5</f>
        <v>23000</v>
      </c>
      <c r="G5" s="27">
        <v>0</v>
      </c>
      <c r="H5" s="28">
        <v>0.15</v>
      </c>
      <c r="I5" s="27">
        <f t="shared" ref="I5:I6" si="5">D5*H5</f>
        <v>3000</v>
      </c>
      <c r="J5" s="4">
        <v>46049</v>
      </c>
      <c r="K5" s="42">
        <v>46083</v>
      </c>
      <c r="L5" s="4"/>
      <c r="M5" s="1" t="s">
        <v>14</v>
      </c>
    </row>
    <row r="6" spans="1:17" x14ac:dyDescent="0.25">
      <c r="A6" s="1">
        <v>5</v>
      </c>
      <c r="B6" s="24" t="s">
        <v>65</v>
      </c>
      <c r="C6" s="1" t="s">
        <v>3</v>
      </c>
      <c r="D6" s="27">
        <v>20000</v>
      </c>
      <c r="E6" s="27">
        <v>0</v>
      </c>
      <c r="F6" s="27">
        <f t="shared" si="4"/>
        <v>23000</v>
      </c>
      <c r="G6" s="27">
        <v>0</v>
      </c>
      <c r="H6" s="28">
        <v>0.15</v>
      </c>
      <c r="I6" s="27">
        <f t="shared" si="5"/>
        <v>3000</v>
      </c>
      <c r="J6" s="4">
        <v>46050</v>
      </c>
      <c r="K6" s="42">
        <v>46083</v>
      </c>
      <c r="L6" s="4"/>
      <c r="M6" s="1" t="s">
        <v>14</v>
      </c>
    </row>
    <row r="7" spans="1:17" x14ac:dyDescent="0.25">
      <c r="A7" s="1">
        <v>6</v>
      </c>
      <c r="B7" s="24" t="s">
        <v>71</v>
      </c>
      <c r="C7" s="1" t="s">
        <v>56</v>
      </c>
      <c r="D7" s="27">
        <v>325000</v>
      </c>
      <c r="E7" s="27">
        <v>0</v>
      </c>
      <c r="F7" s="27">
        <f t="shared" ref="F7" si="6">(D7+I7)-E7</f>
        <v>357500</v>
      </c>
      <c r="G7" s="27">
        <v>0</v>
      </c>
      <c r="H7" s="28">
        <v>0.1</v>
      </c>
      <c r="I7" s="27">
        <f t="shared" ref="I7" si="7">D7*H7</f>
        <v>32500</v>
      </c>
      <c r="J7" s="4">
        <v>46054</v>
      </c>
      <c r="K7" s="42">
        <v>46083</v>
      </c>
      <c r="L7" s="4"/>
      <c r="M7" s="1" t="s">
        <v>14</v>
      </c>
    </row>
    <row r="8" spans="1:17" x14ac:dyDescent="0.25">
      <c r="A8" s="1">
        <v>7</v>
      </c>
      <c r="B8" s="24" t="s">
        <v>65</v>
      </c>
      <c r="C8" s="1" t="s">
        <v>3</v>
      </c>
      <c r="D8" s="27">
        <v>100000</v>
      </c>
      <c r="E8" s="27">
        <v>0</v>
      </c>
      <c r="F8" s="27">
        <f t="shared" ref="F8" si="8">(D8+I8)-E8</f>
        <v>110000</v>
      </c>
      <c r="G8" s="27">
        <v>0</v>
      </c>
      <c r="H8" s="28">
        <v>0.1</v>
      </c>
      <c r="I8" s="27">
        <f t="shared" ref="I8" si="9">D8*H8</f>
        <v>10000</v>
      </c>
      <c r="J8" s="4">
        <v>46054</v>
      </c>
      <c r="K8" s="42">
        <v>46083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56</v>
      </c>
      <c r="D9" s="27">
        <v>280000</v>
      </c>
      <c r="E9" s="27">
        <f>70000</f>
        <v>70000</v>
      </c>
      <c r="F9" s="27">
        <f t="shared" ref="F9" si="10">(D9+I9)-E9</f>
        <v>238000</v>
      </c>
      <c r="G9" s="27">
        <v>0</v>
      </c>
      <c r="H9" s="28">
        <v>0.1</v>
      </c>
      <c r="I9" s="27">
        <f t="shared" ref="I9" si="11">D9*H9</f>
        <v>28000</v>
      </c>
      <c r="J9" s="4">
        <v>46056</v>
      </c>
      <c r="K9" s="42">
        <v>46083</v>
      </c>
      <c r="L9" s="4"/>
      <c r="M9" s="1" t="s">
        <v>14</v>
      </c>
    </row>
    <row r="10" spans="1:17" x14ac:dyDescent="0.25">
      <c r="A10" s="1">
        <v>9</v>
      </c>
      <c r="B10" s="24" t="s">
        <v>55</v>
      </c>
      <c r="C10" s="1" t="s">
        <v>3</v>
      </c>
      <c r="D10" s="27">
        <v>20000</v>
      </c>
      <c r="E10" s="27">
        <v>0</v>
      </c>
      <c r="F10" s="27">
        <f t="shared" ref="F10" si="12">(D10+I10)-E10</f>
        <v>21000</v>
      </c>
      <c r="G10" s="27">
        <v>0</v>
      </c>
      <c r="H10" s="28">
        <v>0.05</v>
      </c>
      <c r="I10" s="27">
        <f t="shared" ref="I10" si="13">D10*H10</f>
        <v>1000</v>
      </c>
      <c r="J10" s="4">
        <v>46058</v>
      </c>
      <c r="K10" s="42">
        <v>46083</v>
      </c>
      <c r="L10" s="4"/>
      <c r="M10" s="1" t="s">
        <v>14</v>
      </c>
      <c r="O10" s="25">
        <v>280</v>
      </c>
      <c r="P10" s="25">
        <v>20</v>
      </c>
    </row>
    <row r="11" spans="1:17" x14ac:dyDescent="0.25">
      <c r="A11" s="1">
        <v>10</v>
      </c>
      <c r="B11" s="24" t="s">
        <v>22</v>
      </c>
      <c r="C11" s="1" t="s">
        <v>56</v>
      </c>
      <c r="D11" s="27">
        <v>100000</v>
      </c>
      <c r="E11" s="27">
        <v>0</v>
      </c>
      <c r="F11" s="27">
        <f t="shared" ref="F11" si="14">(D11+I11)-E11</f>
        <v>105000</v>
      </c>
      <c r="G11" s="27">
        <v>0</v>
      </c>
      <c r="H11" s="28">
        <v>0.05</v>
      </c>
      <c r="I11" s="27">
        <f t="shared" ref="I11" si="15">D11*H11</f>
        <v>5000</v>
      </c>
      <c r="J11" s="4">
        <v>46060</v>
      </c>
      <c r="K11" s="42">
        <v>46083</v>
      </c>
      <c r="L11" s="4"/>
      <c r="M11" s="1" t="s">
        <v>14</v>
      </c>
    </row>
    <row r="12" spans="1:17" x14ac:dyDescent="0.25">
      <c r="A12" s="1">
        <v>11</v>
      </c>
      <c r="B12" s="24" t="s">
        <v>22</v>
      </c>
      <c r="C12" s="1" t="s">
        <v>3</v>
      </c>
      <c r="D12" s="27">
        <v>50000</v>
      </c>
      <c r="E12" s="27">
        <v>0</v>
      </c>
      <c r="F12" s="27">
        <f t="shared" ref="F12:F13" si="16">(D12+I12)-E12</f>
        <v>52500</v>
      </c>
      <c r="G12" s="27">
        <v>0</v>
      </c>
      <c r="H12" s="28">
        <v>0.05</v>
      </c>
      <c r="I12" s="27">
        <f t="shared" ref="I12:I13" si="17">D12*H12</f>
        <v>2500</v>
      </c>
      <c r="J12" s="4">
        <v>46061</v>
      </c>
      <c r="K12" s="42">
        <v>46083</v>
      </c>
      <c r="L12" s="4"/>
      <c r="M12" s="1" t="s">
        <v>14</v>
      </c>
    </row>
    <row r="13" spans="1:17" x14ac:dyDescent="0.25">
      <c r="A13" s="1">
        <v>12</v>
      </c>
      <c r="B13" s="24" t="s">
        <v>65</v>
      </c>
      <c r="C13" s="1" t="s">
        <v>3</v>
      </c>
      <c r="D13" s="27">
        <v>100000</v>
      </c>
      <c r="E13" s="27">
        <v>0</v>
      </c>
      <c r="F13" s="27">
        <f t="shared" si="16"/>
        <v>105000</v>
      </c>
      <c r="G13" s="27">
        <v>0</v>
      </c>
      <c r="H13" s="28">
        <v>0.05</v>
      </c>
      <c r="I13" s="27">
        <f t="shared" si="17"/>
        <v>5000</v>
      </c>
      <c r="J13" s="4">
        <v>46061</v>
      </c>
      <c r="K13" s="42">
        <v>46083</v>
      </c>
      <c r="L13" s="4"/>
      <c r="M13" s="1" t="s">
        <v>14</v>
      </c>
    </row>
    <row r="14" spans="1:17" x14ac:dyDescent="0.25">
      <c r="A14" s="1">
        <v>13</v>
      </c>
      <c r="B14" s="24" t="s">
        <v>65</v>
      </c>
      <c r="C14" s="1" t="s">
        <v>3</v>
      </c>
      <c r="D14" s="27">
        <v>20000</v>
      </c>
      <c r="E14" s="27">
        <v>0</v>
      </c>
      <c r="F14" s="27">
        <f t="shared" ref="F14" si="18">(D14+I14)-E14</f>
        <v>21000</v>
      </c>
      <c r="G14" s="27">
        <v>0</v>
      </c>
      <c r="H14" s="28">
        <v>0.05</v>
      </c>
      <c r="I14" s="27">
        <f t="shared" ref="I14" si="19">D14*H14</f>
        <v>1000</v>
      </c>
      <c r="J14" s="4">
        <v>46061</v>
      </c>
      <c r="K14" s="42">
        <v>46083</v>
      </c>
      <c r="L14" s="4"/>
      <c r="M14" s="1" t="s">
        <v>14</v>
      </c>
    </row>
    <row r="15" spans="1:17" x14ac:dyDescent="0.25">
      <c r="A15" s="1">
        <v>14</v>
      </c>
      <c r="B15" s="43" t="s">
        <v>17</v>
      </c>
      <c r="C15" s="44" t="s">
        <v>56</v>
      </c>
      <c r="D15" s="45">
        <v>350000</v>
      </c>
      <c r="E15" s="45">
        <v>350000</v>
      </c>
      <c r="F15" s="45">
        <f t="shared" ref="F15:F17" si="20">(D15+I15)-E15</f>
        <v>0</v>
      </c>
      <c r="G15" s="45">
        <v>0</v>
      </c>
      <c r="H15" s="46">
        <v>0</v>
      </c>
      <c r="I15" s="45">
        <f t="shared" ref="I15:I17" si="21">D15*H15</f>
        <v>0</v>
      </c>
      <c r="J15" s="47">
        <v>46065</v>
      </c>
      <c r="K15" s="47">
        <v>46073</v>
      </c>
      <c r="L15" s="47"/>
      <c r="M15" s="44" t="s">
        <v>77</v>
      </c>
    </row>
    <row r="16" spans="1:17" x14ac:dyDescent="0.25">
      <c r="A16" s="1">
        <v>15</v>
      </c>
      <c r="B16" s="38" t="s">
        <v>38</v>
      </c>
      <c r="C16" s="39" t="s">
        <v>30</v>
      </c>
      <c r="D16" s="40">
        <v>300000</v>
      </c>
      <c r="E16" s="40">
        <v>0</v>
      </c>
      <c r="F16" s="40">
        <f t="shared" si="20"/>
        <v>300000</v>
      </c>
      <c r="G16" s="40">
        <v>0</v>
      </c>
      <c r="H16" s="41">
        <v>0</v>
      </c>
      <c r="I16" s="40">
        <f t="shared" si="21"/>
        <v>0</v>
      </c>
      <c r="J16" s="42">
        <v>46066</v>
      </c>
      <c r="K16" s="42">
        <v>46083</v>
      </c>
      <c r="L16" s="42"/>
      <c r="M16" s="39" t="s">
        <v>14</v>
      </c>
    </row>
    <row r="17" spans="1:13" x14ac:dyDescent="0.25">
      <c r="A17" s="1">
        <v>16</v>
      </c>
      <c r="B17" s="38" t="s">
        <v>21</v>
      </c>
      <c r="C17" s="39" t="s">
        <v>30</v>
      </c>
      <c r="D17" s="40">
        <v>100000</v>
      </c>
      <c r="E17" s="40">
        <v>0</v>
      </c>
      <c r="F17" s="40">
        <f t="shared" si="20"/>
        <v>100000</v>
      </c>
      <c r="G17" s="40">
        <v>0</v>
      </c>
      <c r="H17" s="41">
        <v>0</v>
      </c>
      <c r="I17" s="40">
        <f t="shared" si="21"/>
        <v>0</v>
      </c>
      <c r="J17" s="42">
        <v>46066</v>
      </c>
      <c r="K17" s="42">
        <v>46083</v>
      </c>
      <c r="L17" s="42"/>
      <c r="M17" s="39" t="s">
        <v>14</v>
      </c>
    </row>
    <row r="18" spans="1:13" x14ac:dyDescent="0.25">
      <c r="A18" s="1">
        <v>17</v>
      </c>
      <c r="B18" s="43" t="s">
        <v>17</v>
      </c>
      <c r="C18" s="44" t="s">
        <v>56</v>
      </c>
      <c r="D18" s="45">
        <v>250000</v>
      </c>
      <c r="E18" s="45">
        <v>250000</v>
      </c>
      <c r="F18" s="45">
        <f t="shared" ref="F18:F20" si="22">(D18+I18)-E18</f>
        <v>0</v>
      </c>
      <c r="G18" s="45">
        <v>0</v>
      </c>
      <c r="H18" s="46">
        <v>0</v>
      </c>
      <c r="I18" s="45">
        <f t="shared" ref="I18:I20" si="23">D18*H18</f>
        <v>0</v>
      </c>
      <c r="J18" s="47">
        <v>46068</v>
      </c>
      <c r="K18" s="47">
        <v>46073</v>
      </c>
      <c r="L18" s="47"/>
      <c r="M18" s="44" t="s">
        <v>77</v>
      </c>
    </row>
    <row r="19" spans="1:13" x14ac:dyDescent="0.25">
      <c r="A19" s="1">
        <v>18</v>
      </c>
      <c r="B19" s="38" t="s">
        <v>8</v>
      </c>
      <c r="C19" s="39" t="s">
        <v>3</v>
      </c>
      <c r="D19" s="40">
        <v>50000</v>
      </c>
      <c r="E19" s="40">
        <v>0</v>
      </c>
      <c r="F19" s="40">
        <f t="shared" si="22"/>
        <v>50000</v>
      </c>
      <c r="G19" s="40">
        <v>0</v>
      </c>
      <c r="H19" s="41">
        <v>0</v>
      </c>
      <c r="I19" s="40">
        <f t="shared" si="23"/>
        <v>0</v>
      </c>
      <c r="J19" s="42">
        <v>46068</v>
      </c>
      <c r="K19" s="42">
        <v>46083</v>
      </c>
      <c r="L19" s="42"/>
      <c r="M19" s="39" t="s">
        <v>14</v>
      </c>
    </row>
    <row r="20" spans="1:13" x14ac:dyDescent="0.25">
      <c r="A20" s="1">
        <v>19</v>
      </c>
      <c r="B20" s="38" t="s">
        <v>26</v>
      </c>
      <c r="C20" s="39" t="s">
        <v>30</v>
      </c>
      <c r="D20" s="40">
        <v>500000</v>
      </c>
      <c r="E20" s="40">
        <v>0</v>
      </c>
      <c r="F20" s="40">
        <f t="shared" si="22"/>
        <v>500000</v>
      </c>
      <c r="G20" s="40">
        <v>0</v>
      </c>
      <c r="H20" s="41">
        <v>0</v>
      </c>
      <c r="I20" s="40">
        <f t="shared" si="23"/>
        <v>0</v>
      </c>
      <c r="J20" s="42">
        <v>46068</v>
      </c>
      <c r="K20" s="42">
        <v>46083</v>
      </c>
      <c r="L20" s="42"/>
      <c r="M20" s="39" t="s">
        <v>14</v>
      </c>
    </row>
    <row r="21" spans="1:13" x14ac:dyDescent="0.25">
      <c r="A21" s="1">
        <v>20</v>
      </c>
      <c r="B21" s="38" t="s">
        <v>22</v>
      </c>
      <c r="C21" s="39" t="s">
        <v>3</v>
      </c>
      <c r="D21" s="40">
        <f>50000+20000+10000</f>
        <v>80000</v>
      </c>
      <c r="E21" s="40">
        <v>0</v>
      </c>
      <c r="F21" s="40">
        <f t="shared" ref="F21:F23" si="24">(D21+I21)-E21</f>
        <v>80000</v>
      </c>
      <c r="G21" s="40">
        <v>0</v>
      </c>
      <c r="H21" s="41">
        <v>0</v>
      </c>
      <c r="I21" s="40">
        <f t="shared" ref="I21:I23" si="25">D21*H21</f>
        <v>0</v>
      </c>
      <c r="J21" s="42">
        <v>46069</v>
      </c>
      <c r="K21" s="42">
        <v>46083</v>
      </c>
      <c r="L21" s="42"/>
      <c r="M21" s="39" t="s">
        <v>14</v>
      </c>
    </row>
    <row r="22" spans="1:13" x14ac:dyDescent="0.25">
      <c r="A22" s="1">
        <v>21</v>
      </c>
      <c r="B22" s="38" t="s">
        <v>19</v>
      </c>
      <c r="C22" s="39" t="s">
        <v>16</v>
      </c>
      <c r="D22" s="40">
        <v>200000</v>
      </c>
      <c r="E22" s="40">
        <v>0</v>
      </c>
      <c r="F22" s="40">
        <f t="shared" ref="F22" si="26">(D22+I22)-E22</f>
        <v>200000</v>
      </c>
      <c r="G22" s="40">
        <v>0</v>
      </c>
      <c r="H22" s="41">
        <v>0</v>
      </c>
      <c r="I22" s="40">
        <f t="shared" ref="I22" si="27">D22*H22</f>
        <v>0</v>
      </c>
      <c r="J22" s="42">
        <v>46069</v>
      </c>
      <c r="K22" s="42">
        <v>46083</v>
      </c>
      <c r="L22" s="42"/>
      <c r="M22" s="39" t="s">
        <v>14</v>
      </c>
    </row>
    <row r="23" spans="1:13" x14ac:dyDescent="0.25">
      <c r="A23" s="1">
        <v>22</v>
      </c>
      <c r="B23" s="38" t="s">
        <v>38</v>
      </c>
      <c r="C23" s="39" t="s">
        <v>30</v>
      </c>
      <c r="D23" s="40">
        <f>200000+50000</f>
        <v>250000</v>
      </c>
      <c r="E23" s="40">
        <v>0</v>
      </c>
      <c r="F23" s="40">
        <f t="shared" si="24"/>
        <v>250000</v>
      </c>
      <c r="G23" s="40">
        <v>0</v>
      </c>
      <c r="H23" s="41">
        <v>0</v>
      </c>
      <c r="I23" s="40">
        <f t="shared" si="25"/>
        <v>0</v>
      </c>
      <c r="J23" s="42">
        <v>46069</v>
      </c>
      <c r="K23" s="42">
        <v>46083</v>
      </c>
      <c r="L23" s="42"/>
      <c r="M23" s="39" t="s">
        <v>14</v>
      </c>
    </row>
    <row r="24" spans="1:13" x14ac:dyDescent="0.25">
      <c r="A24" s="1">
        <v>23</v>
      </c>
      <c r="B24" s="43" t="s">
        <v>74</v>
      </c>
      <c r="C24" s="44" t="s">
        <v>56</v>
      </c>
      <c r="D24" s="45">
        <v>280000</v>
      </c>
      <c r="E24" s="45">
        <v>280000</v>
      </c>
      <c r="F24" s="45">
        <f t="shared" ref="F24:F31" si="28">(D24+I24)-E24</f>
        <v>0</v>
      </c>
      <c r="G24" s="45">
        <v>0</v>
      </c>
      <c r="H24" s="46">
        <v>0</v>
      </c>
      <c r="I24" s="45">
        <f t="shared" ref="I24:I31" si="29">D24*H24</f>
        <v>0</v>
      </c>
      <c r="J24" s="47">
        <v>46070</v>
      </c>
      <c r="K24" s="47">
        <v>46073</v>
      </c>
      <c r="L24" s="47"/>
      <c r="M24" s="44" t="s">
        <v>77</v>
      </c>
    </row>
    <row r="25" spans="1:13" x14ac:dyDescent="0.25">
      <c r="A25" s="1">
        <v>24</v>
      </c>
      <c r="B25" s="38" t="s">
        <v>63</v>
      </c>
      <c r="C25" s="39" t="s">
        <v>16</v>
      </c>
      <c r="D25" s="40">
        <v>20000</v>
      </c>
      <c r="E25" s="40">
        <v>0</v>
      </c>
      <c r="F25" s="40">
        <f t="shared" si="28"/>
        <v>20000</v>
      </c>
      <c r="G25" s="40">
        <v>0</v>
      </c>
      <c r="H25" s="41">
        <v>0</v>
      </c>
      <c r="I25" s="40">
        <f t="shared" si="29"/>
        <v>0</v>
      </c>
      <c r="J25" s="42">
        <v>46071</v>
      </c>
      <c r="K25" s="42">
        <v>46083</v>
      </c>
      <c r="L25" s="42"/>
      <c r="M25" s="39" t="s">
        <v>14</v>
      </c>
    </row>
    <row r="26" spans="1:13" x14ac:dyDescent="0.25">
      <c r="A26" s="1">
        <v>25</v>
      </c>
      <c r="B26" s="38" t="s">
        <v>54</v>
      </c>
      <c r="C26" s="39" t="s">
        <v>16</v>
      </c>
      <c r="D26" s="40">
        <f>70000+150000</f>
        <v>220000</v>
      </c>
      <c r="E26" s="40">
        <v>0</v>
      </c>
      <c r="F26" s="40">
        <f t="shared" si="28"/>
        <v>220000</v>
      </c>
      <c r="G26" s="40">
        <v>0</v>
      </c>
      <c r="H26" s="41">
        <v>0</v>
      </c>
      <c r="I26" s="40">
        <f t="shared" si="29"/>
        <v>0</v>
      </c>
      <c r="J26" s="42">
        <v>46071</v>
      </c>
      <c r="K26" s="42">
        <v>46083</v>
      </c>
      <c r="L26" s="42"/>
      <c r="M26" s="39" t="s">
        <v>14</v>
      </c>
    </row>
    <row r="27" spans="1:13" x14ac:dyDescent="0.25">
      <c r="A27" s="1">
        <v>26</v>
      </c>
      <c r="B27" s="38" t="s">
        <v>8</v>
      </c>
      <c r="C27" s="39" t="s">
        <v>3</v>
      </c>
      <c r="D27" s="40">
        <v>60000</v>
      </c>
      <c r="E27" s="40">
        <v>0</v>
      </c>
      <c r="F27" s="40">
        <f t="shared" si="28"/>
        <v>60000</v>
      </c>
      <c r="G27" s="40">
        <v>0</v>
      </c>
      <c r="H27" s="41">
        <v>0</v>
      </c>
      <c r="I27" s="40">
        <f t="shared" si="29"/>
        <v>0</v>
      </c>
      <c r="J27" s="42">
        <v>46071</v>
      </c>
      <c r="K27" s="42">
        <v>46083</v>
      </c>
      <c r="L27" s="42"/>
      <c r="M27" s="39" t="s">
        <v>14</v>
      </c>
    </row>
    <row r="28" spans="1:13" x14ac:dyDescent="0.25">
      <c r="A28" s="1">
        <v>27</v>
      </c>
      <c r="B28" s="38" t="s">
        <v>15</v>
      </c>
      <c r="C28" s="39" t="s">
        <v>30</v>
      </c>
      <c r="D28" s="40">
        <v>50000</v>
      </c>
      <c r="E28" s="40">
        <v>0</v>
      </c>
      <c r="F28" s="40">
        <f t="shared" si="28"/>
        <v>50000</v>
      </c>
      <c r="G28" s="40">
        <v>0</v>
      </c>
      <c r="H28" s="41">
        <v>0</v>
      </c>
      <c r="I28" s="40">
        <f t="shared" si="29"/>
        <v>0</v>
      </c>
      <c r="J28" s="42">
        <v>46071</v>
      </c>
      <c r="K28" s="42">
        <v>46083</v>
      </c>
      <c r="L28" s="42"/>
      <c r="M28" s="39" t="s">
        <v>14</v>
      </c>
    </row>
    <row r="29" spans="1:13" x14ac:dyDescent="0.25">
      <c r="A29" s="1">
        <v>28</v>
      </c>
      <c r="B29" s="38" t="s">
        <v>73</v>
      </c>
      <c r="C29" s="39" t="s">
        <v>3</v>
      </c>
      <c r="D29" s="40">
        <v>150000</v>
      </c>
      <c r="E29" s="40">
        <v>0</v>
      </c>
      <c r="F29" s="40">
        <f t="shared" si="28"/>
        <v>150000</v>
      </c>
      <c r="G29" s="40">
        <v>0</v>
      </c>
      <c r="H29" s="41">
        <v>0</v>
      </c>
      <c r="I29" s="40">
        <f t="shared" si="29"/>
        <v>0</v>
      </c>
      <c r="J29" s="42">
        <v>46071</v>
      </c>
      <c r="K29" s="42">
        <v>46083</v>
      </c>
      <c r="L29" s="42"/>
      <c r="M29" s="39" t="s">
        <v>14</v>
      </c>
    </row>
    <row r="30" spans="1:13" x14ac:dyDescent="0.25">
      <c r="A30" s="1">
        <v>29</v>
      </c>
      <c r="B30" s="38" t="s">
        <v>41</v>
      </c>
      <c r="C30" s="39" t="s">
        <v>30</v>
      </c>
      <c r="D30" s="40">
        <v>300000</v>
      </c>
      <c r="E30" s="40">
        <v>0</v>
      </c>
      <c r="F30" s="40">
        <f t="shared" si="28"/>
        <v>300000</v>
      </c>
      <c r="G30" s="40">
        <v>0</v>
      </c>
      <c r="H30" s="41">
        <v>0</v>
      </c>
      <c r="I30" s="40">
        <f t="shared" si="29"/>
        <v>0</v>
      </c>
      <c r="J30" s="42">
        <v>46071</v>
      </c>
      <c r="K30" s="42">
        <v>46083</v>
      </c>
      <c r="L30" s="42"/>
      <c r="M30" s="39" t="s">
        <v>14</v>
      </c>
    </row>
    <row r="31" spans="1:13" x14ac:dyDescent="0.25">
      <c r="A31" s="1">
        <v>30</v>
      </c>
      <c r="B31" s="38" t="s">
        <v>74</v>
      </c>
      <c r="C31" s="39" t="s">
        <v>56</v>
      </c>
      <c r="D31" s="40">
        <f>200000+50000+80000</f>
        <v>330000</v>
      </c>
      <c r="E31" s="40">
        <f>220000</f>
        <v>220000</v>
      </c>
      <c r="F31" s="40">
        <f t="shared" si="28"/>
        <v>110000</v>
      </c>
      <c r="G31" s="40">
        <v>0</v>
      </c>
      <c r="H31" s="41">
        <v>0</v>
      </c>
      <c r="I31" s="40">
        <f t="shared" si="29"/>
        <v>0</v>
      </c>
      <c r="J31" s="42">
        <v>46071</v>
      </c>
      <c r="K31" s="42">
        <v>46083</v>
      </c>
      <c r="L31" s="42"/>
      <c r="M31" s="39" t="s">
        <v>14</v>
      </c>
    </row>
    <row r="32" spans="1:13" x14ac:dyDescent="0.25">
      <c r="A32" s="1">
        <v>31</v>
      </c>
      <c r="B32" s="38" t="s">
        <v>74</v>
      </c>
      <c r="C32" s="39" t="s">
        <v>56</v>
      </c>
      <c r="D32" s="40">
        <v>20000</v>
      </c>
      <c r="E32" s="40">
        <v>0</v>
      </c>
      <c r="F32" s="40">
        <f t="shared" ref="F32" si="30">(D32+I32)-E32</f>
        <v>20000</v>
      </c>
      <c r="G32" s="40">
        <v>0</v>
      </c>
      <c r="H32" s="41">
        <v>0</v>
      </c>
      <c r="I32" s="40">
        <f t="shared" ref="I32" si="31">D32*H32</f>
        <v>0</v>
      </c>
      <c r="J32" s="42">
        <v>46072</v>
      </c>
      <c r="K32" s="42">
        <v>46083</v>
      </c>
      <c r="L32" s="42"/>
      <c r="M32" s="39" t="s">
        <v>14</v>
      </c>
    </row>
    <row r="33" spans="1:13" x14ac:dyDescent="0.25">
      <c r="A33" s="1">
        <v>32</v>
      </c>
      <c r="B33" s="38" t="s">
        <v>75</v>
      </c>
      <c r="C33" s="39" t="s">
        <v>30</v>
      </c>
      <c r="D33" s="40">
        <v>400000</v>
      </c>
      <c r="E33" s="40">
        <v>0</v>
      </c>
      <c r="F33" s="40">
        <f t="shared" ref="F33" si="32">(D33+I33)-E33</f>
        <v>400000</v>
      </c>
      <c r="G33" s="40">
        <v>0</v>
      </c>
      <c r="H33" s="41">
        <v>0</v>
      </c>
      <c r="I33" s="40">
        <f t="shared" ref="I33" si="33">D33*H33</f>
        <v>0</v>
      </c>
      <c r="J33" s="42">
        <v>46072</v>
      </c>
      <c r="K33" s="42">
        <v>46083</v>
      </c>
      <c r="L33" s="42"/>
      <c r="M33" s="39" t="s">
        <v>14</v>
      </c>
    </row>
    <row r="34" spans="1:13" x14ac:dyDescent="0.25">
      <c r="A34" s="1">
        <v>33</v>
      </c>
      <c r="B34" s="38" t="s">
        <v>76</v>
      </c>
      <c r="C34" s="39" t="s">
        <v>24</v>
      </c>
      <c r="D34" s="40">
        <v>10000</v>
      </c>
      <c r="E34" s="40">
        <v>0</v>
      </c>
      <c r="F34" s="40">
        <f t="shared" ref="F34" si="34">(D34+I34)-E34</f>
        <v>10000</v>
      </c>
      <c r="G34" s="40">
        <v>0</v>
      </c>
      <c r="H34" s="41">
        <v>0</v>
      </c>
      <c r="I34" s="40">
        <f t="shared" ref="I34" si="35">D34*H34</f>
        <v>0</v>
      </c>
      <c r="J34" s="42">
        <v>46073</v>
      </c>
      <c r="K34" s="42">
        <v>46083</v>
      </c>
      <c r="L34" s="42"/>
      <c r="M34" s="39" t="s">
        <v>14</v>
      </c>
    </row>
    <row r="35" spans="1:13" x14ac:dyDescent="0.25">
      <c r="A35" s="1">
        <v>34</v>
      </c>
      <c r="B35" s="38" t="s">
        <v>34</v>
      </c>
      <c r="C35" s="39" t="s">
        <v>30</v>
      </c>
      <c r="D35" s="40">
        <v>500000</v>
      </c>
      <c r="E35" s="40">
        <v>0</v>
      </c>
      <c r="F35" s="40">
        <f t="shared" ref="F35" si="36">(D35+I35)-E35</f>
        <v>500000</v>
      </c>
      <c r="G35" s="40">
        <v>0</v>
      </c>
      <c r="H35" s="41">
        <v>0</v>
      </c>
      <c r="I35" s="40">
        <f t="shared" ref="I35" si="37">D35*H35</f>
        <v>0</v>
      </c>
      <c r="J35" s="42">
        <v>46073</v>
      </c>
      <c r="K35" s="42">
        <v>46083</v>
      </c>
      <c r="L35" s="42"/>
      <c r="M35" s="39" t="s">
        <v>14</v>
      </c>
    </row>
    <row r="36" spans="1:13" x14ac:dyDescent="0.25">
      <c r="A36" s="1">
        <v>35</v>
      </c>
      <c r="B36" s="38" t="s">
        <v>22</v>
      </c>
      <c r="C36" s="39" t="s">
        <v>78</v>
      </c>
      <c r="D36" s="40">
        <v>300000</v>
      </c>
      <c r="E36" s="40">
        <v>0</v>
      </c>
      <c r="F36" s="40">
        <f t="shared" ref="F36" si="38">(D36+I36)-E36</f>
        <v>300000</v>
      </c>
      <c r="G36" s="40">
        <v>0</v>
      </c>
      <c r="H36" s="41">
        <v>0</v>
      </c>
      <c r="I36" s="40">
        <f t="shared" ref="I36" si="39">D36*H36</f>
        <v>0</v>
      </c>
      <c r="J36" s="42">
        <v>46074</v>
      </c>
      <c r="K36" s="42">
        <v>46083</v>
      </c>
      <c r="L36" s="42"/>
      <c r="M36" s="39" t="s">
        <v>14</v>
      </c>
    </row>
    <row r="37" spans="1:13" x14ac:dyDescent="0.25">
      <c r="A37" s="1">
        <v>36</v>
      </c>
      <c r="B37" s="38" t="s">
        <v>41</v>
      </c>
      <c r="C37" s="39" t="s">
        <v>30</v>
      </c>
      <c r="D37" s="40">
        <v>100000</v>
      </c>
      <c r="E37" s="40">
        <v>0</v>
      </c>
      <c r="F37" s="40">
        <f t="shared" ref="F37:F38" si="40">(D37+I37)-E37</f>
        <v>100000</v>
      </c>
      <c r="G37" s="40">
        <v>0</v>
      </c>
      <c r="H37" s="41">
        <v>0</v>
      </c>
      <c r="I37" s="40">
        <f t="shared" ref="I37:I38" si="41">D37*H37</f>
        <v>0</v>
      </c>
      <c r="J37" s="42">
        <v>46075</v>
      </c>
      <c r="K37" s="42">
        <v>46083</v>
      </c>
      <c r="L37" s="42"/>
      <c r="M37" s="39" t="s">
        <v>14</v>
      </c>
    </row>
    <row r="38" spans="1:13" x14ac:dyDescent="0.25">
      <c r="A38" s="1">
        <v>37</v>
      </c>
      <c r="B38" s="38" t="s">
        <v>79</v>
      </c>
      <c r="C38" s="39" t="s">
        <v>16</v>
      </c>
      <c r="D38" s="40">
        <v>505000</v>
      </c>
      <c r="E38" s="40">
        <v>0</v>
      </c>
      <c r="F38" s="40">
        <f t="shared" si="40"/>
        <v>505000</v>
      </c>
      <c r="G38" s="40">
        <v>0</v>
      </c>
      <c r="H38" s="41">
        <v>0</v>
      </c>
      <c r="I38" s="40">
        <f t="shared" si="41"/>
        <v>0</v>
      </c>
      <c r="J38" s="42">
        <v>46075</v>
      </c>
      <c r="K38" s="42">
        <v>46083</v>
      </c>
      <c r="L38" s="42"/>
      <c r="M38" s="39" t="s">
        <v>14</v>
      </c>
    </row>
    <row r="39" spans="1:13" x14ac:dyDescent="0.25">
      <c r="A39" s="1">
        <v>38</v>
      </c>
      <c r="B39" s="24"/>
      <c r="C39" s="1"/>
      <c r="D39" s="27"/>
      <c r="E39" s="27"/>
      <c r="F39" s="27"/>
      <c r="G39" s="27"/>
      <c r="H39" s="28"/>
      <c r="I39" s="27"/>
      <c r="J39" s="4"/>
      <c r="K39" s="4"/>
      <c r="L39" s="4"/>
      <c r="M39" s="1"/>
    </row>
    <row r="40" spans="1:13" x14ac:dyDescent="0.25">
      <c r="A40" s="1">
        <v>39</v>
      </c>
      <c r="B40" s="24"/>
      <c r="C40" s="1"/>
      <c r="D40" s="27"/>
      <c r="E40" s="27"/>
      <c r="F40" s="27"/>
      <c r="G40" s="27"/>
      <c r="H40" s="28"/>
      <c r="I40" s="27"/>
      <c r="J40" s="4"/>
      <c r="K40" s="4"/>
      <c r="L40" s="4"/>
      <c r="M40" s="1"/>
    </row>
    <row r="41" spans="1:13" x14ac:dyDescent="0.25">
      <c r="A41" s="1">
        <v>40</v>
      </c>
      <c r="B41" s="24"/>
      <c r="C41" s="1"/>
      <c r="D41" s="27"/>
      <c r="E41" s="27"/>
      <c r="F41" s="27"/>
      <c r="G41" s="27"/>
      <c r="H41" s="28"/>
      <c r="I41" s="27"/>
      <c r="J41" s="4"/>
      <c r="K41" s="4"/>
      <c r="L41" s="4"/>
      <c r="M41" s="1"/>
    </row>
    <row r="42" spans="1:13" x14ac:dyDescent="0.25">
      <c r="A42" s="1">
        <v>41</v>
      </c>
      <c r="B42" s="24"/>
      <c r="C42" s="1"/>
      <c r="D42" s="27"/>
      <c r="E42" s="27"/>
      <c r="F42" s="27"/>
      <c r="G42" s="27"/>
      <c r="H42" s="28"/>
      <c r="I42" s="27"/>
      <c r="J42" s="4"/>
      <c r="K42" s="4"/>
      <c r="L42" s="4"/>
      <c r="M42" s="1"/>
    </row>
    <row r="43" spans="1:13" x14ac:dyDescent="0.25">
      <c r="A43" s="1">
        <v>42</v>
      </c>
      <c r="B43" s="24"/>
      <c r="C43" s="1"/>
      <c r="D43" s="27"/>
      <c r="E43" s="27"/>
      <c r="F43" s="27"/>
      <c r="G43" s="27"/>
      <c r="H43" s="28"/>
      <c r="I43" s="27"/>
      <c r="J43" s="4"/>
      <c r="K43" s="4"/>
      <c r="L43" s="4"/>
      <c r="M43" s="1"/>
    </row>
    <row r="44" spans="1:13" x14ac:dyDescent="0.25">
      <c r="A44" s="1">
        <v>43</v>
      </c>
      <c r="B44" s="24"/>
      <c r="C44" s="1"/>
      <c r="D44" s="27"/>
      <c r="E44" s="27"/>
      <c r="F44" s="27"/>
      <c r="G44" s="27"/>
      <c r="H44" s="28"/>
      <c r="I44" s="27"/>
      <c r="J44" s="4"/>
      <c r="K44" s="4"/>
      <c r="L44" s="4"/>
      <c r="M44" s="1"/>
    </row>
    <row r="45" spans="1:13" ht="24" x14ac:dyDescent="0.25">
      <c r="B45" s="33" t="s">
        <v>33</v>
      </c>
      <c r="C45" s="33"/>
      <c r="D45" s="49" t="s">
        <v>72</v>
      </c>
      <c r="E45" s="50"/>
      <c r="F45" s="50"/>
      <c r="G45" s="50"/>
    </row>
    <row r="46" spans="1:13" x14ac:dyDescent="0.25">
      <c r="D46" s="48" t="s">
        <v>28</v>
      </c>
      <c r="E46" s="48"/>
      <c r="F46" s="34">
        <f>SUM(D2:D44)</f>
        <v>6742000</v>
      </c>
      <c r="G46" s="35"/>
      <c r="J46" s="35"/>
    </row>
    <row r="47" spans="1:13" x14ac:dyDescent="0.25">
      <c r="D47" s="48" t="s">
        <v>29</v>
      </c>
      <c r="E47" s="48"/>
      <c r="F47" s="34">
        <f>SUM(E2:E44)</f>
        <v>1465000</v>
      </c>
      <c r="G47" s="35"/>
      <c r="M47" s="25" t="s">
        <v>40</v>
      </c>
    </row>
    <row r="48" spans="1:13" x14ac:dyDescent="0.25">
      <c r="D48" s="48" t="s">
        <v>64</v>
      </c>
      <c r="E48" s="48"/>
      <c r="F48" s="34">
        <f>F47-F46</f>
        <v>-5277000</v>
      </c>
      <c r="G48" s="35"/>
    </row>
    <row r="49" spans="4:7" x14ac:dyDescent="0.25">
      <c r="D49" s="48" t="s">
        <v>27</v>
      </c>
      <c r="E49" s="48"/>
      <c r="F49" s="34">
        <f>SUM(F2:F44)</f>
        <v>5561100</v>
      </c>
    </row>
    <row r="50" spans="4:7" x14ac:dyDescent="0.25">
      <c r="G50" s="35"/>
    </row>
    <row r="51" spans="4:7" x14ac:dyDescent="0.25">
      <c r="D51" s="25" t="s">
        <v>61</v>
      </c>
      <c r="E51" s="27">
        <f>1000000+1000000+1000000+3000000-1500000+300000+600000</f>
        <v>5400000</v>
      </c>
      <c r="F51" s="35"/>
      <c r="G51" s="35"/>
    </row>
    <row r="52" spans="4:7" x14ac:dyDescent="0.25">
      <c r="D52" s="25" t="s">
        <v>67</v>
      </c>
      <c r="E52" s="27">
        <f>135000+300000</f>
        <v>435000</v>
      </c>
      <c r="F52" s="35"/>
      <c r="G52" s="35"/>
    </row>
    <row r="53" spans="4:7" x14ac:dyDescent="0.25">
      <c r="F53" s="35"/>
    </row>
    <row r="54" spans="4:7" x14ac:dyDescent="0.25">
      <c r="F54" s="36"/>
    </row>
    <row r="55" spans="4:7" x14ac:dyDescent="0.25">
      <c r="F55" s="35"/>
    </row>
    <row r="56" spans="4:7" x14ac:dyDescent="0.25">
      <c r="F56" s="35"/>
    </row>
  </sheetData>
  <autoFilter ref="A1:M48" xr:uid="{B426C2E0-1FB2-4505-A56E-E149D9D304FF}"/>
  <mergeCells count="5">
    <mergeCell ref="D46:E46"/>
    <mergeCell ref="D47:E47"/>
    <mergeCell ref="D49:E49"/>
    <mergeCell ref="D45:G45"/>
    <mergeCell ref="D48:E48"/>
  </mergeCells>
  <phoneticPr fontId="1" type="noConversion"/>
  <hyperlinks>
    <hyperlink ref="D4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F336"/>
  <sheetViews>
    <sheetView topLeftCell="A279" zoomScaleNormal="100" workbookViewId="0">
      <selection activeCell="D293" sqref="D293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7" bestFit="1" customWidth="1"/>
    <col min="4" max="4" width="27.140625" style="23" bestFit="1" customWidth="1"/>
    <col min="6" max="6" width="13.140625" bestFit="1" customWidth="1"/>
  </cols>
  <sheetData>
    <row r="1" spans="1:4" ht="18.75" x14ac:dyDescent="0.25">
      <c r="A1" s="18" t="s">
        <v>45</v>
      </c>
      <c r="B1" s="18" t="s">
        <v>1</v>
      </c>
      <c r="C1" s="18" t="s">
        <v>46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38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35</v>
      </c>
      <c r="C32" s="20">
        <v>5000</v>
      </c>
      <c r="D32" s="22"/>
    </row>
    <row r="33" spans="1:4" ht="18.75" x14ac:dyDescent="0.25">
      <c r="A33" s="21">
        <v>45993</v>
      </c>
      <c r="B33" s="19" t="s">
        <v>34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47</v>
      </c>
      <c r="C42" s="20">
        <v>540000</v>
      </c>
      <c r="D42" s="22"/>
    </row>
    <row r="43" spans="1:4" ht="18.75" x14ac:dyDescent="0.25">
      <c r="A43" s="21">
        <v>45996</v>
      </c>
      <c r="B43" s="19" t="s">
        <v>36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39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47</v>
      </c>
      <c r="C49" s="20">
        <v>100000</v>
      </c>
      <c r="D49" s="22"/>
    </row>
    <row r="50" spans="1:4" ht="18.75" x14ac:dyDescent="0.25">
      <c r="A50" s="21">
        <v>45999</v>
      </c>
      <c r="B50" s="19" t="s">
        <v>39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41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38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47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43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39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42</v>
      </c>
    </row>
    <row r="72" spans="1:4" ht="18.75" x14ac:dyDescent="0.25">
      <c r="A72" s="21">
        <v>46005</v>
      </c>
      <c r="B72" s="19" t="s">
        <v>44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35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42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36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38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42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48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42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38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52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49</v>
      </c>
    </row>
    <row r="95" spans="1:4" ht="18.75" x14ac:dyDescent="0.25">
      <c r="A95" s="21">
        <v>46011</v>
      </c>
      <c r="B95" s="19" t="s">
        <v>38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50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50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43</v>
      </c>
      <c r="C99" s="20">
        <v>50000</v>
      </c>
      <c r="D99" s="22" t="s">
        <v>51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42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53</v>
      </c>
    </row>
    <row r="104" spans="1:4" ht="18.75" x14ac:dyDescent="0.25">
      <c r="A104" s="21">
        <v>46016</v>
      </c>
      <c r="B104" s="19" t="s">
        <v>39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41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38</v>
      </c>
      <c r="C107" s="20">
        <v>50000</v>
      </c>
      <c r="D107" s="22" t="s">
        <v>50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54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50</v>
      </c>
    </row>
    <row r="111" spans="1:4" ht="18.75" x14ac:dyDescent="0.25">
      <c r="A111" s="21">
        <v>46018</v>
      </c>
      <c r="B111" s="19" t="s">
        <v>55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39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38</v>
      </c>
      <c r="C117" s="20">
        <v>100000</v>
      </c>
      <c r="D117" s="22" t="s">
        <v>50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56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56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50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57</v>
      </c>
    </row>
    <row r="128" spans="1:4" ht="18.75" x14ac:dyDescent="0.25">
      <c r="A128" s="21">
        <v>46022</v>
      </c>
      <c r="B128" s="19" t="s">
        <v>55</v>
      </c>
      <c r="C128" s="20">
        <v>20000</v>
      </c>
      <c r="D128" s="22" t="s">
        <v>48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42</v>
      </c>
    </row>
    <row r="132" spans="1:4" ht="18.75" x14ac:dyDescent="0.25">
      <c r="A132" s="21">
        <v>46023</v>
      </c>
      <c r="B132" s="19" t="s">
        <v>39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35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56</v>
      </c>
    </row>
    <row r="137" spans="1:4" ht="18.75" x14ac:dyDescent="0.25">
      <c r="A137" s="21">
        <v>46024</v>
      </c>
      <c r="B137" s="19" t="s">
        <v>41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35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35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56</v>
      </c>
    </row>
    <row r="146" spans="1:4" ht="18.75" x14ac:dyDescent="0.25">
      <c r="A146" s="21">
        <v>46030</v>
      </c>
      <c r="B146" s="19" t="s">
        <v>55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41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54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60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54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35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48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55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55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35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56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51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51</v>
      </c>
    </row>
    <row r="179" spans="1:4" ht="18.75" x14ac:dyDescent="0.25">
      <c r="A179" s="21">
        <v>46041</v>
      </c>
      <c r="B179" s="19" t="s">
        <v>62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51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38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38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56</v>
      </c>
    </row>
    <row r="189" spans="1:4" ht="18.75" x14ac:dyDescent="0.25">
      <c r="A189" s="21">
        <v>46043</v>
      </c>
      <c r="B189" s="19" t="s">
        <v>41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63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65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66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66</v>
      </c>
    </row>
    <row r="197" spans="1:4" ht="18.75" x14ac:dyDescent="0.25">
      <c r="A197" s="21">
        <v>46044</v>
      </c>
      <c r="B197" s="19" t="s">
        <v>65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56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56</v>
      </c>
    </row>
    <row r="203" spans="1:4" ht="18.75" x14ac:dyDescent="0.25">
      <c r="A203" s="21">
        <v>46045</v>
      </c>
      <c r="B203" s="19" t="s">
        <v>65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35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63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63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56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68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65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38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38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65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56</v>
      </c>
    </row>
    <row r="219" spans="1:4" ht="18.75" x14ac:dyDescent="0.25">
      <c r="A219" s="21">
        <v>46050</v>
      </c>
      <c r="B219" s="19" t="s">
        <v>69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70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38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38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47</v>
      </c>
      <c r="C224" s="20">
        <v>100000</v>
      </c>
      <c r="D224" s="22" t="s">
        <v>30</v>
      </c>
    </row>
    <row r="225" spans="1:6" ht="18.75" x14ac:dyDescent="0.25">
      <c r="A225" s="21">
        <v>46051</v>
      </c>
      <c r="B225" s="19" t="s">
        <v>34</v>
      </c>
      <c r="C225" s="20">
        <v>160000</v>
      </c>
      <c r="D225" s="22" t="s">
        <v>56</v>
      </c>
    </row>
    <row r="226" spans="1:6" ht="18.75" x14ac:dyDescent="0.25">
      <c r="A226" s="21">
        <v>46051</v>
      </c>
      <c r="B226" s="19" t="s">
        <v>39</v>
      </c>
      <c r="C226" s="20">
        <v>20000</v>
      </c>
      <c r="D226" s="22" t="s">
        <v>3</v>
      </c>
    </row>
    <row r="227" spans="1:6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6" ht="18.75" x14ac:dyDescent="0.25">
      <c r="A228" s="21">
        <v>46053</v>
      </c>
      <c r="B228" s="19" t="s">
        <v>65</v>
      </c>
      <c r="C228" s="20">
        <v>500000</v>
      </c>
      <c r="D228" s="22" t="s">
        <v>3</v>
      </c>
    </row>
    <row r="229" spans="1:6" ht="18.75" x14ac:dyDescent="0.25">
      <c r="A229" s="21">
        <v>46053</v>
      </c>
      <c r="B229" s="19" t="s">
        <v>63</v>
      </c>
      <c r="C229" s="20">
        <v>100000</v>
      </c>
      <c r="D229" s="22" t="s">
        <v>16</v>
      </c>
    </row>
    <row r="230" spans="1:6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6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6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6" ht="18.75" x14ac:dyDescent="0.25">
      <c r="A233" s="21">
        <v>46054</v>
      </c>
      <c r="B233" s="19" t="s">
        <v>22</v>
      </c>
      <c r="C233" s="20">
        <v>50000</v>
      </c>
      <c r="D233" s="22" t="s">
        <v>51</v>
      </c>
    </row>
    <row r="234" spans="1:6" ht="18.75" x14ac:dyDescent="0.25">
      <c r="A234" s="21">
        <v>46054</v>
      </c>
      <c r="B234" s="19" t="s">
        <v>22</v>
      </c>
      <c r="C234" s="20">
        <v>50000</v>
      </c>
      <c r="D234" s="22" t="s">
        <v>51</v>
      </c>
    </row>
    <row r="235" spans="1:6" ht="18.75" x14ac:dyDescent="0.25">
      <c r="A235" s="21">
        <v>46054</v>
      </c>
      <c r="B235" s="19" t="s">
        <v>22</v>
      </c>
      <c r="C235" s="20">
        <v>20000</v>
      </c>
      <c r="D235" s="22" t="s">
        <v>51</v>
      </c>
    </row>
    <row r="236" spans="1:6" ht="18.75" x14ac:dyDescent="0.25">
      <c r="A236" s="21">
        <v>46054</v>
      </c>
      <c r="B236" s="19" t="s">
        <v>22</v>
      </c>
      <c r="C236" s="20">
        <v>10000</v>
      </c>
      <c r="D236" s="22" t="s">
        <v>51</v>
      </c>
    </row>
    <row r="237" spans="1:6" ht="18.75" x14ac:dyDescent="0.25">
      <c r="A237" s="21">
        <v>46054</v>
      </c>
      <c r="B237" s="19" t="s">
        <v>25</v>
      </c>
      <c r="C237" s="20">
        <v>325000</v>
      </c>
      <c r="D237" s="22" t="s">
        <v>56</v>
      </c>
    </row>
    <row r="238" spans="1:6" ht="18.75" x14ac:dyDescent="0.25">
      <c r="A238" s="21">
        <v>46054</v>
      </c>
      <c r="B238" s="19" t="s">
        <v>65</v>
      </c>
      <c r="C238" s="20">
        <v>100000</v>
      </c>
      <c r="D238" s="22" t="s">
        <v>3</v>
      </c>
      <c r="F238" s="13"/>
    </row>
    <row r="239" spans="1:6" ht="18.75" x14ac:dyDescent="0.25">
      <c r="A239" s="21">
        <v>46055</v>
      </c>
      <c r="B239" s="19" t="s">
        <v>69</v>
      </c>
      <c r="C239" s="20">
        <v>20000</v>
      </c>
      <c r="D239" s="22" t="s">
        <v>56</v>
      </c>
    </row>
    <row r="240" spans="1:6" ht="18.75" x14ac:dyDescent="0.25">
      <c r="A240" s="21">
        <v>46055</v>
      </c>
      <c r="B240" s="19" t="s">
        <v>35</v>
      </c>
      <c r="C240" s="20">
        <v>100000</v>
      </c>
      <c r="D240" s="22" t="s">
        <v>3</v>
      </c>
    </row>
    <row r="241" spans="1:4" ht="18.75" x14ac:dyDescent="0.25">
      <c r="A241" s="21">
        <v>46056</v>
      </c>
      <c r="B241" s="19" t="s">
        <v>19</v>
      </c>
      <c r="C241" s="20">
        <v>300000</v>
      </c>
      <c r="D241" s="22" t="s">
        <v>16</v>
      </c>
    </row>
    <row r="242" spans="1:4" ht="18.75" x14ac:dyDescent="0.25">
      <c r="A242" s="21">
        <v>46056</v>
      </c>
      <c r="B242" s="19" t="s">
        <v>21</v>
      </c>
      <c r="C242" s="20">
        <v>55000</v>
      </c>
      <c r="D242" s="22" t="s">
        <v>30</v>
      </c>
    </row>
    <row r="243" spans="1:4" ht="18.75" x14ac:dyDescent="0.25">
      <c r="A243" s="21">
        <v>46056</v>
      </c>
      <c r="B243" s="19" t="s">
        <v>22</v>
      </c>
      <c r="C243" s="20">
        <v>80000</v>
      </c>
      <c r="D243" s="22" t="s">
        <v>3</v>
      </c>
    </row>
    <row r="244" spans="1:4" ht="18.75" x14ac:dyDescent="0.25">
      <c r="A244" s="21">
        <v>46056</v>
      </c>
      <c r="B244" s="19" t="s">
        <v>22</v>
      </c>
      <c r="C244" s="20">
        <v>280000</v>
      </c>
      <c r="D244" s="22" t="s">
        <v>56</v>
      </c>
    </row>
    <row r="245" spans="1:4" ht="18.75" x14ac:dyDescent="0.25">
      <c r="A245" s="21">
        <v>46056</v>
      </c>
      <c r="B245" s="19" t="s">
        <v>8</v>
      </c>
      <c r="C245" s="20">
        <v>20000</v>
      </c>
      <c r="D245" s="22" t="s">
        <v>3</v>
      </c>
    </row>
    <row r="246" spans="1:4" ht="18.75" x14ac:dyDescent="0.25">
      <c r="A246" s="21">
        <v>46056</v>
      </c>
      <c r="B246" s="19" t="s">
        <v>8</v>
      </c>
      <c r="C246" s="20">
        <v>50000</v>
      </c>
      <c r="D246" s="22" t="s">
        <v>51</v>
      </c>
    </row>
    <row r="247" spans="1:4" ht="18.75" x14ac:dyDescent="0.25">
      <c r="A247" s="21">
        <v>46057</v>
      </c>
      <c r="B247" s="19" t="s">
        <v>19</v>
      </c>
      <c r="C247" s="20">
        <v>250000</v>
      </c>
      <c r="D247" s="22" t="s">
        <v>16</v>
      </c>
    </row>
    <row r="248" spans="1:4" ht="18.75" x14ac:dyDescent="0.25">
      <c r="A248" s="21">
        <v>46058</v>
      </c>
      <c r="B248" s="19" t="s">
        <v>19</v>
      </c>
      <c r="C248" s="20">
        <v>150000</v>
      </c>
      <c r="D248" s="22" t="s">
        <v>16</v>
      </c>
    </row>
    <row r="249" spans="1:4" ht="18.75" x14ac:dyDescent="0.25">
      <c r="A249" s="21">
        <v>46058</v>
      </c>
      <c r="B249" s="19" t="s">
        <v>35</v>
      </c>
      <c r="C249" s="20">
        <v>20000</v>
      </c>
      <c r="D249" s="22" t="s">
        <v>24</v>
      </c>
    </row>
    <row r="250" spans="1:4" ht="18.75" x14ac:dyDescent="0.25">
      <c r="A250" s="21">
        <v>46058</v>
      </c>
      <c r="B250" s="19" t="s">
        <v>55</v>
      </c>
      <c r="C250" s="20">
        <v>20000</v>
      </c>
      <c r="D250" s="22" t="s">
        <v>3</v>
      </c>
    </row>
    <row r="251" spans="1:4" ht="18.75" x14ac:dyDescent="0.25">
      <c r="A251" s="21">
        <v>46059</v>
      </c>
      <c r="B251" s="19" t="s">
        <v>19</v>
      </c>
      <c r="C251" s="20">
        <v>200000</v>
      </c>
      <c r="D251" s="22" t="s">
        <v>16</v>
      </c>
    </row>
    <row r="252" spans="1:4" ht="18.75" x14ac:dyDescent="0.25">
      <c r="A252" s="21">
        <v>46059</v>
      </c>
      <c r="B252" s="19" t="s">
        <v>17</v>
      </c>
      <c r="C252" s="20">
        <v>500000</v>
      </c>
      <c r="D252" s="22" t="s">
        <v>56</v>
      </c>
    </row>
    <row r="253" spans="1:4" ht="18.75" x14ac:dyDescent="0.25">
      <c r="A253" s="21">
        <v>46059</v>
      </c>
      <c r="B253" s="19" t="s">
        <v>39</v>
      </c>
      <c r="C253" s="20">
        <v>20000</v>
      </c>
      <c r="D253" s="22" t="s">
        <v>3</v>
      </c>
    </row>
    <row r="254" spans="1:4" ht="18.75" x14ac:dyDescent="0.25">
      <c r="A254" s="21">
        <v>46059</v>
      </c>
      <c r="B254" s="19" t="s">
        <v>26</v>
      </c>
      <c r="C254" s="20">
        <v>5000</v>
      </c>
      <c r="D254" s="22" t="s">
        <v>30</v>
      </c>
    </row>
    <row r="255" spans="1:4" ht="18.75" x14ac:dyDescent="0.25">
      <c r="A255" s="21">
        <v>46060</v>
      </c>
      <c r="B255" s="19" t="s">
        <v>41</v>
      </c>
      <c r="C255" s="20">
        <v>200000</v>
      </c>
      <c r="D255" s="22" t="s">
        <v>51</v>
      </c>
    </row>
    <row r="256" spans="1:4" ht="18.75" x14ac:dyDescent="0.25">
      <c r="A256" s="21">
        <v>46060</v>
      </c>
      <c r="B256" s="19" t="s">
        <v>26</v>
      </c>
      <c r="C256" s="20">
        <v>400000</v>
      </c>
      <c r="D256" s="22" t="s">
        <v>30</v>
      </c>
    </row>
    <row r="257" spans="1:4" ht="18.75" x14ac:dyDescent="0.25">
      <c r="A257" s="21">
        <v>46060</v>
      </c>
      <c r="B257" s="19" t="s">
        <v>22</v>
      </c>
      <c r="C257" s="20">
        <v>100000</v>
      </c>
      <c r="D257" s="22" t="s">
        <v>56</v>
      </c>
    </row>
    <row r="258" spans="1:4" ht="18.75" x14ac:dyDescent="0.25">
      <c r="A258" s="21">
        <v>46061</v>
      </c>
      <c r="B258" s="19" t="s">
        <v>20</v>
      </c>
      <c r="C258" s="20">
        <v>50000</v>
      </c>
      <c r="D258" s="22" t="s">
        <v>3</v>
      </c>
    </row>
    <row r="259" spans="1:4" ht="18.75" x14ac:dyDescent="0.25">
      <c r="A259" s="21">
        <v>46061</v>
      </c>
      <c r="B259" s="19" t="s">
        <v>65</v>
      </c>
      <c r="C259" s="20">
        <v>100000</v>
      </c>
      <c r="D259" s="22" t="s">
        <v>3</v>
      </c>
    </row>
    <row r="260" spans="1:4" ht="18.75" x14ac:dyDescent="0.25">
      <c r="A260" s="21">
        <v>46061</v>
      </c>
      <c r="B260" s="19" t="s">
        <v>22</v>
      </c>
      <c r="C260" s="20">
        <v>50000</v>
      </c>
      <c r="D260" s="22" t="s">
        <v>3</v>
      </c>
    </row>
    <row r="261" spans="1:4" ht="18.75" x14ac:dyDescent="0.25">
      <c r="A261" s="21">
        <v>46061</v>
      </c>
      <c r="B261" s="19" t="s">
        <v>65</v>
      </c>
      <c r="C261" s="20">
        <v>20000</v>
      </c>
      <c r="D261" s="22" t="s">
        <v>3</v>
      </c>
    </row>
    <row r="262" spans="1:4" ht="18.75" x14ac:dyDescent="0.25">
      <c r="A262" s="21">
        <v>46061</v>
      </c>
      <c r="B262" s="19" t="s">
        <v>21</v>
      </c>
      <c r="C262" s="20">
        <v>20000</v>
      </c>
      <c r="D262" s="22" t="s">
        <v>3</v>
      </c>
    </row>
    <row r="263" spans="1:4" ht="18.75" x14ac:dyDescent="0.25">
      <c r="A263" s="21">
        <v>46063</v>
      </c>
      <c r="B263" s="19" t="s">
        <v>38</v>
      </c>
      <c r="C263" s="20">
        <v>500000</v>
      </c>
      <c r="D263" s="22" t="s">
        <v>30</v>
      </c>
    </row>
    <row r="264" spans="1:4" ht="18.75" x14ac:dyDescent="0.25">
      <c r="A264" s="21">
        <v>46064</v>
      </c>
      <c r="B264" s="19" t="s">
        <v>17</v>
      </c>
      <c r="C264" s="20">
        <v>20000</v>
      </c>
      <c r="D264" s="22" t="s">
        <v>48</v>
      </c>
    </row>
    <row r="265" spans="1:4" ht="18.75" x14ac:dyDescent="0.25">
      <c r="A265" s="21">
        <v>46064</v>
      </c>
      <c r="B265" s="19" t="s">
        <v>69</v>
      </c>
      <c r="C265" s="20">
        <v>20000</v>
      </c>
      <c r="D265" s="22" t="s">
        <v>56</v>
      </c>
    </row>
    <row r="266" spans="1:4" ht="18.75" x14ac:dyDescent="0.25">
      <c r="A266" s="21">
        <v>46065</v>
      </c>
      <c r="B266" s="19" t="s">
        <v>17</v>
      </c>
      <c r="C266" s="20">
        <v>350000</v>
      </c>
      <c r="D266" s="22" t="s">
        <v>56</v>
      </c>
    </row>
    <row r="267" spans="1:4" ht="18.75" x14ac:dyDescent="0.25">
      <c r="A267" s="21">
        <v>46066</v>
      </c>
      <c r="B267" s="19" t="s">
        <v>47</v>
      </c>
      <c r="C267" s="20">
        <v>2500000</v>
      </c>
      <c r="D267" s="22" t="s">
        <v>30</v>
      </c>
    </row>
    <row r="268" spans="1:4" ht="18.75" x14ac:dyDescent="0.25">
      <c r="A268" s="21">
        <v>46066</v>
      </c>
      <c r="B268" s="19" t="s">
        <v>38</v>
      </c>
      <c r="C268" s="20">
        <v>300000</v>
      </c>
      <c r="D268" s="22" t="s">
        <v>30</v>
      </c>
    </row>
    <row r="269" spans="1:4" ht="18.75" x14ac:dyDescent="0.25">
      <c r="A269" s="21">
        <v>46066</v>
      </c>
      <c r="B269" s="19" t="s">
        <v>21</v>
      </c>
      <c r="C269" s="20">
        <v>100000</v>
      </c>
      <c r="D269" s="22" t="s">
        <v>30</v>
      </c>
    </row>
    <row r="270" spans="1:4" ht="18.75" x14ac:dyDescent="0.25">
      <c r="A270" s="21">
        <v>46068</v>
      </c>
      <c r="B270" s="19" t="s">
        <v>17</v>
      </c>
      <c r="C270" s="20">
        <v>250000</v>
      </c>
      <c r="D270" s="22" t="s">
        <v>56</v>
      </c>
    </row>
    <row r="271" spans="1:4" ht="18.75" x14ac:dyDescent="0.25">
      <c r="A271" s="21">
        <v>46068</v>
      </c>
      <c r="B271" s="19" t="s">
        <v>26</v>
      </c>
      <c r="C271" s="20">
        <v>500000</v>
      </c>
      <c r="D271" s="22" t="s">
        <v>30</v>
      </c>
    </row>
    <row r="272" spans="1:4" ht="18.75" x14ac:dyDescent="0.25">
      <c r="A272" s="21">
        <v>46068</v>
      </c>
      <c r="B272" s="19" t="s">
        <v>8</v>
      </c>
      <c r="C272" s="20">
        <v>50000</v>
      </c>
      <c r="D272" s="22" t="s">
        <v>3</v>
      </c>
    </row>
    <row r="273" spans="1:4" ht="18.75" x14ac:dyDescent="0.25">
      <c r="A273" s="21">
        <v>46069</v>
      </c>
      <c r="B273" s="19" t="s">
        <v>22</v>
      </c>
      <c r="C273" s="20">
        <v>80000</v>
      </c>
      <c r="D273" s="22" t="s">
        <v>3</v>
      </c>
    </row>
    <row r="274" spans="1:4" ht="18.75" x14ac:dyDescent="0.25">
      <c r="A274" s="21">
        <v>46069</v>
      </c>
      <c r="B274" s="19" t="s">
        <v>38</v>
      </c>
      <c r="C274" s="20">
        <v>200000</v>
      </c>
      <c r="D274" s="22" t="s">
        <v>30</v>
      </c>
    </row>
    <row r="275" spans="1:4" ht="18.75" x14ac:dyDescent="0.25">
      <c r="A275" s="21">
        <v>46069</v>
      </c>
      <c r="B275" s="19" t="s">
        <v>38</v>
      </c>
      <c r="C275" s="20">
        <v>50000</v>
      </c>
      <c r="D275" s="22" t="s">
        <v>30</v>
      </c>
    </row>
    <row r="276" spans="1:4" ht="18.75" x14ac:dyDescent="0.25">
      <c r="A276" s="21">
        <v>46070</v>
      </c>
      <c r="B276" s="19" t="s">
        <v>74</v>
      </c>
      <c r="C276" s="20">
        <v>280000</v>
      </c>
      <c r="D276" s="22" t="s">
        <v>56</v>
      </c>
    </row>
    <row r="277" spans="1:4" ht="18.75" x14ac:dyDescent="0.25">
      <c r="A277" s="21">
        <v>46071</v>
      </c>
      <c r="B277" s="19" t="s">
        <v>63</v>
      </c>
      <c r="C277" s="20">
        <v>20000</v>
      </c>
      <c r="D277" s="22" t="s">
        <v>16</v>
      </c>
    </row>
    <row r="278" spans="1:4" ht="18.75" x14ac:dyDescent="0.25">
      <c r="A278" s="21">
        <v>46071</v>
      </c>
      <c r="B278" s="19" t="s">
        <v>54</v>
      </c>
      <c r="C278" s="20">
        <v>220000</v>
      </c>
      <c r="D278" s="22" t="s">
        <v>16</v>
      </c>
    </row>
    <row r="279" spans="1:4" ht="18.75" x14ac:dyDescent="0.25">
      <c r="A279" s="21">
        <v>46071</v>
      </c>
      <c r="B279" s="19" t="s">
        <v>8</v>
      </c>
      <c r="C279" s="20">
        <v>60000</v>
      </c>
      <c r="D279" s="22" t="s">
        <v>3</v>
      </c>
    </row>
    <row r="280" spans="1:4" ht="18.75" x14ac:dyDescent="0.25">
      <c r="A280" s="21">
        <v>46071</v>
      </c>
      <c r="B280" s="19" t="s">
        <v>15</v>
      </c>
      <c r="C280" s="20">
        <v>50000</v>
      </c>
      <c r="D280" s="22" t="s">
        <v>30</v>
      </c>
    </row>
    <row r="281" spans="1:4" ht="18.75" x14ac:dyDescent="0.25">
      <c r="A281" s="21">
        <v>46071</v>
      </c>
      <c r="B281" s="19" t="s">
        <v>73</v>
      </c>
      <c r="C281" s="20">
        <v>150000</v>
      </c>
      <c r="D281" s="22" t="s">
        <v>3</v>
      </c>
    </row>
    <row r="282" spans="1:4" ht="18.75" x14ac:dyDescent="0.25">
      <c r="A282" s="21">
        <v>46071</v>
      </c>
      <c r="B282" s="19" t="s">
        <v>41</v>
      </c>
      <c r="C282" s="20">
        <v>300000</v>
      </c>
      <c r="D282" s="22" t="s">
        <v>30</v>
      </c>
    </row>
    <row r="283" spans="1:4" ht="18.75" x14ac:dyDescent="0.25">
      <c r="A283" s="21">
        <v>46071</v>
      </c>
      <c r="B283" s="19" t="s">
        <v>74</v>
      </c>
      <c r="C283" s="20">
        <v>330000</v>
      </c>
      <c r="D283" s="22" t="s">
        <v>56</v>
      </c>
    </row>
    <row r="284" spans="1:4" ht="18.75" x14ac:dyDescent="0.25">
      <c r="A284" s="21">
        <v>46072</v>
      </c>
      <c r="B284" s="19" t="s">
        <v>74</v>
      </c>
      <c r="C284" s="20">
        <v>20000</v>
      </c>
      <c r="D284" s="22" t="s">
        <v>56</v>
      </c>
    </row>
    <row r="285" spans="1:4" ht="18.75" x14ac:dyDescent="0.25">
      <c r="A285" s="21">
        <v>46072</v>
      </c>
      <c r="B285" s="19" t="s">
        <v>26</v>
      </c>
      <c r="C285" s="20">
        <v>400000</v>
      </c>
      <c r="D285" s="22" t="s">
        <v>30</v>
      </c>
    </row>
    <row r="286" spans="1:4" ht="18.75" x14ac:dyDescent="0.25">
      <c r="A286" s="21">
        <v>46073</v>
      </c>
      <c r="B286" s="19" t="s">
        <v>76</v>
      </c>
      <c r="C286" s="20">
        <v>10000</v>
      </c>
      <c r="D286" s="22" t="s">
        <v>24</v>
      </c>
    </row>
    <row r="287" spans="1:4" ht="18.75" x14ac:dyDescent="0.25">
      <c r="A287" s="21">
        <v>46073</v>
      </c>
      <c r="B287" s="19" t="s">
        <v>17</v>
      </c>
      <c r="C287" s="20">
        <v>360000</v>
      </c>
      <c r="D287" s="22" t="s">
        <v>56</v>
      </c>
    </row>
    <row r="288" spans="1:4" ht="18.75" x14ac:dyDescent="0.25">
      <c r="A288" s="21">
        <v>46073</v>
      </c>
      <c r="B288" s="19" t="s">
        <v>74</v>
      </c>
      <c r="C288" s="20">
        <v>50000</v>
      </c>
      <c r="D288" s="22" t="s">
        <v>56</v>
      </c>
    </row>
    <row r="289" spans="1:4" ht="18.75" x14ac:dyDescent="0.25">
      <c r="A289" s="21">
        <v>46073</v>
      </c>
      <c r="B289" s="19" t="s">
        <v>34</v>
      </c>
      <c r="C289" s="20">
        <v>500000</v>
      </c>
      <c r="D289" s="22" t="s">
        <v>56</v>
      </c>
    </row>
    <row r="290" spans="1:4" ht="18.75" x14ac:dyDescent="0.25">
      <c r="A290" s="21">
        <v>46074</v>
      </c>
      <c r="B290" s="19" t="s">
        <v>22</v>
      </c>
      <c r="C290" s="20">
        <v>300000</v>
      </c>
      <c r="D290" s="22" t="s">
        <v>78</v>
      </c>
    </row>
    <row r="291" spans="1:4" ht="18.75" x14ac:dyDescent="0.25">
      <c r="A291" s="21">
        <v>46075</v>
      </c>
      <c r="B291" s="19" t="s">
        <v>41</v>
      </c>
      <c r="C291" s="20">
        <v>100000</v>
      </c>
      <c r="D291" s="22" t="s">
        <v>30</v>
      </c>
    </row>
    <row r="292" spans="1:4" ht="18.75" x14ac:dyDescent="0.25">
      <c r="A292" s="21">
        <v>46075</v>
      </c>
      <c r="B292" s="19" t="s">
        <v>79</v>
      </c>
      <c r="C292" s="20">
        <v>505000</v>
      </c>
      <c r="D292" s="22" t="s">
        <v>16</v>
      </c>
    </row>
    <row r="293" spans="1:4" ht="18.75" x14ac:dyDescent="0.25">
      <c r="A293" s="21"/>
      <c r="B293" s="19"/>
      <c r="C293" s="20"/>
      <c r="D293" s="22"/>
    </row>
    <row r="294" spans="1:4" ht="18.75" x14ac:dyDescent="0.25">
      <c r="A294" s="21"/>
      <c r="B294" s="19"/>
      <c r="C294" s="20"/>
      <c r="D294" s="22"/>
    </row>
    <row r="295" spans="1:4" ht="18.75" x14ac:dyDescent="0.25">
      <c r="A295" s="21"/>
      <c r="B295" s="19"/>
      <c r="C295" s="20"/>
      <c r="D295" s="22"/>
    </row>
    <row r="296" spans="1:4" ht="18.75" x14ac:dyDescent="0.25">
      <c r="A296" s="21"/>
      <c r="B296" s="19"/>
      <c r="C296" s="20"/>
      <c r="D296" s="22"/>
    </row>
    <row r="297" spans="1:4" ht="18.75" x14ac:dyDescent="0.25">
      <c r="A297" s="21"/>
      <c r="B297" s="19"/>
      <c r="C297" s="20"/>
      <c r="D297" s="22"/>
    </row>
    <row r="298" spans="1:4" ht="18.75" x14ac:dyDescent="0.25">
      <c r="A298" s="21"/>
      <c r="B298" s="19"/>
      <c r="C298" s="20"/>
      <c r="D298" s="22"/>
    </row>
    <row r="299" spans="1:4" ht="18.75" x14ac:dyDescent="0.25">
      <c r="A299" s="21"/>
      <c r="B299" s="19"/>
      <c r="C299" s="20"/>
      <c r="D299" s="22"/>
    </row>
    <row r="300" spans="1:4" ht="18.75" x14ac:dyDescent="0.25">
      <c r="A300" s="21"/>
      <c r="B300" s="19"/>
      <c r="C300" s="20"/>
      <c r="D300" s="22"/>
    </row>
    <row r="301" spans="1:4" ht="18.75" x14ac:dyDescent="0.25">
      <c r="A301" s="21"/>
      <c r="B301" s="19"/>
      <c r="C301" s="20"/>
      <c r="D301" s="22"/>
    </row>
    <row r="302" spans="1:4" ht="18.75" x14ac:dyDescent="0.25">
      <c r="A302" s="21"/>
      <c r="B302" s="19"/>
      <c r="C302" s="20"/>
      <c r="D302" s="22"/>
    </row>
    <row r="303" spans="1:4" ht="18.75" x14ac:dyDescent="0.25">
      <c r="A303" s="21"/>
      <c r="B303" s="19"/>
      <c r="C303" s="20"/>
      <c r="D303" s="22"/>
    </row>
    <row r="304" spans="1:4" ht="18.75" x14ac:dyDescent="0.25">
      <c r="A304" s="21"/>
      <c r="B304" s="19"/>
      <c r="C304" s="20"/>
      <c r="D304" s="22"/>
    </row>
    <row r="305" spans="1:4" ht="18.75" x14ac:dyDescent="0.25">
      <c r="A305" s="21"/>
      <c r="B305" s="19"/>
      <c r="C305" s="20"/>
      <c r="D305" s="22"/>
    </row>
    <row r="306" spans="1:4" ht="18.75" x14ac:dyDescent="0.25">
      <c r="A306" s="21"/>
      <c r="B306" s="19"/>
      <c r="C306" s="20"/>
      <c r="D306" s="22"/>
    </row>
    <row r="307" spans="1:4" ht="18.75" x14ac:dyDescent="0.25">
      <c r="A307" s="21"/>
      <c r="B307" s="19"/>
      <c r="C307" s="20"/>
      <c r="D307" s="22"/>
    </row>
    <row r="308" spans="1:4" ht="18.75" x14ac:dyDescent="0.25">
      <c r="A308" s="21"/>
      <c r="B308" s="19"/>
      <c r="C308" s="20"/>
      <c r="D308" s="22"/>
    </row>
    <row r="309" spans="1:4" ht="18.75" x14ac:dyDescent="0.25">
      <c r="A309" s="21"/>
      <c r="B309" s="19"/>
      <c r="C309" s="20"/>
      <c r="D309" s="22"/>
    </row>
    <row r="310" spans="1:4" ht="18.75" x14ac:dyDescent="0.25">
      <c r="A310" s="21"/>
      <c r="B310" s="19"/>
      <c r="C310" s="20"/>
      <c r="D310" s="22"/>
    </row>
    <row r="311" spans="1:4" ht="18.75" x14ac:dyDescent="0.25">
      <c r="A311" s="21"/>
      <c r="B311" s="19"/>
      <c r="C311" s="20"/>
      <c r="D311" s="22"/>
    </row>
    <row r="312" spans="1:4" ht="18.75" x14ac:dyDescent="0.25">
      <c r="A312" s="21"/>
      <c r="B312" s="19"/>
      <c r="C312" s="20"/>
      <c r="D312" s="22"/>
    </row>
    <row r="313" spans="1:4" ht="18.75" x14ac:dyDescent="0.25">
      <c r="A313" s="21"/>
      <c r="B313" s="19"/>
      <c r="C313" s="20"/>
      <c r="D313" s="22"/>
    </row>
    <row r="314" spans="1:4" ht="18.75" x14ac:dyDescent="0.25">
      <c r="A314" s="21"/>
      <c r="B314" s="19"/>
      <c r="C314" s="20"/>
      <c r="D314" s="22"/>
    </row>
    <row r="315" spans="1:4" ht="18.75" x14ac:dyDescent="0.25">
      <c r="A315" s="21"/>
      <c r="B315" s="19"/>
      <c r="C315" s="20"/>
      <c r="D315" s="22"/>
    </row>
    <row r="316" spans="1:4" ht="18.75" x14ac:dyDescent="0.25">
      <c r="A316" s="21"/>
      <c r="B316" s="19"/>
      <c r="C316" s="20"/>
      <c r="D316" s="22"/>
    </row>
    <row r="317" spans="1:4" ht="18.75" x14ac:dyDescent="0.25">
      <c r="A317" s="21"/>
      <c r="B317" s="19"/>
      <c r="C317" s="20"/>
      <c r="D317" s="22"/>
    </row>
    <row r="318" spans="1:4" ht="18.75" x14ac:dyDescent="0.25">
      <c r="A318" s="21"/>
      <c r="B318" s="19"/>
      <c r="C318" s="20"/>
      <c r="D318" s="22"/>
    </row>
    <row r="319" spans="1:4" ht="18.75" x14ac:dyDescent="0.25">
      <c r="A319" s="21"/>
      <c r="B319" s="19"/>
      <c r="C319" s="20"/>
      <c r="D319" s="22"/>
    </row>
    <row r="320" spans="1:4" ht="18.75" x14ac:dyDescent="0.25">
      <c r="A320" s="21"/>
      <c r="B320" s="19"/>
      <c r="C320" s="20"/>
      <c r="D320" s="22"/>
    </row>
    <row r="321" spans="1:4" ht="18.75" x14ac:dyDescent="0.25">
      <c r="A321" s="21"/>
      <c r="B321" s="19"/>
      <c r="C321" s="20"/>
      <c r="D321" s="22"/>
    </row>
    <row r="322" spans="1:4" ht="18.75" x14ac:dyDescent="0.25">
      <c r="A322" s="21"/>
      <c r="B322" s="19"/>
      <c r="C322" s="20"/>
      <c r="D322" s="22"/>
    </row>
    <row r="323" spans="1:4" ht="18.75" x14ac:dyDescent="0.25">
      <c r="A323" s="21"/>
      <c r="B323" s="19"/>
      <c r="C323" s="20"/>
      <c r="D323" s="22"/>
    </row>
    <row r="324" spans="1:4" ht="18.75" x14ac:dyDescent="0.25">
      <c r="A324" s="21"/>
      <c r="B324" s="19"/>
      <c r="C324" s="20"/>
      <c r="D324" s="22"/>
    </row>
    <row r="325" spans="1:4" ht="18.75" x14ac:dyDescent="0.25">
      <c r="A325" s="21"/>
      <c r="B325" s="19"/>
      <c r="C325" s="20"/>
      <c r="D325" s="22"/>
    </row>
    <row r="326" spans="1:4" ht="18.75" x14ac:dyDescent="0.25">
      <c r="A326" s="21"/>
      <c r="B326" s="19"/>
      <c r="C326" s="20"/>
      <c r="D326" s="22"/>
    </row>
    <row r="327" spans="1:4" ht="18.75" x14ac:dyDescent="0.25">
      <c r="A327" s="21"/>
      <c r="B327" s="19"/>
      <c r="C327" s="20"/>
      <c r="D327" s="22"/>
    </row>
    <row r="328" spans="1:4" ht="18.75" x14ac:dyDescent="0.25">
      <c r="A328" s="21"/>
      <c r="B328" s="19"/>
      <c r="C328" s="20"/>
      <c r="D328" s="22"/>
    </row>
    <row r="329" spans="1:4" ht="18.75" x14ac:dyDescent="0.25">
      <c r="A329" s="21"/>
      <c r="B329" s="19"/>
      <c r="C329" s="20"/>
      <c r="D329" s="22"/>
    </row>
    <row r="330" spans="1:4" ht="18.75" x14ac:dyDescent="0.25">
      <c r="A330" s="21"/>
      <c r="B330" s="19"/>
      <c r="C330" s="20"/>
      <c r="D330" s="22"/>
    </row>
    <row r="331" spans="1:4" ht="18.75" x14ac:dyDescent="0.25">
      <c r="A331" s="21"/>
      <c r="B331" s="19"/>
      <c r="C331" s="20"/>
      <c r="D331" s="22"/>
    </row>
    <row r="332" spans="1:4" ht="18.75" x14ac:dyDescent="0.25">
      <c r="A332" s="21"/>
      <c r="B332" s="19"/>
      <c r="C332" s="20"/>
      <c r="D332" s="22"/>
    </row>
    <row r="333" spans="1:4" ht="18.75" x14ac:dyDescent="0.25">
      <c r="A333" s="21"/>
      <c r="B333" s="19"/>
      <c r="C333" s="20"/>
      <c r="D333" s="22"/>
    </row>
    <row r="334" spans="1:4" ht="18.75" x14ac:dyDescent="0.25">
      <c r="A334" s="21"/>
      <c r="B334" s="19"/>
      <c r="C334" s="20"/>
      <c r="D334" s="22"/>
    </row>
    <row r="335" spans="1:4" ht="18.75" x14ac:dyDescent="0.25">
      <c r="A335" s="21"/>
      <c r="B335" s="19"/>
      <c r="C335" s="20"/>
      <c r="D335" s="22"/>
    </row>
    <row r="336" spans="1:4" ht="18.75" x14ac:dyDescent="0.25">
      <c r="A336" s="21"/>
    </row>
  </sheetData>
  <autoFilter ref="A1:D237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41</v>
      </c>
      <c r="D1" s="9" t="s">
        <v>39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35</v>
      </c>
      <c r="K1" s="9" t="s">
        <v>36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38</v>
      </c>
      <c r="Q1" s="10" t="s">
        <v>34</v>
      </c>
      <c r="R1" s="9" t="s">
        <v>26</v>
      </c>
      <c r="S1" s="9" t="s">
        <v>37</v>
      </c>
      <c r="T1" s="9" t="s">
        <v>43</v>
      </c>
      <c r="U1" s="17" t="s">
        <v>44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2026-02-22T07:29:51Z</dcterms:modified>
</cp:coreProperties>
</file>