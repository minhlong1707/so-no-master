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B8902DC3-C888-45D1-9D27-75B2CFCC6D82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7" i="3"/>
  <c r="E18" i="3"/>
  <c r="I26" i="3"/>
  <c r="E10" i="3"/>
  <c r="E22" i="3"/>
  <c r="E37" i="3"/>
  <c r="I24" i="3"/>
  <c r="F24" i="3" s="1"/>
  <c r="I25" i="3"/>
  <c r="F25" i="3" s="1"/>
  <c r="I23" i="3"/>
  <c r="F23" i="3" s="1"/>
  <c r="I22" i="3"/>
  <c r="F22" i="3" s="1"/>
  <c r="I21" i="3"/>
  <c r="F21" i="3" s="1"/>
  <c r="I19" i="3"/>
  <c r="F19" i="3" s="1"/>
  <c r="I20" i="3"/>
  <c r="F20" i="3" s="1"/>
  <c r="I18" i="3"/>
  <c r="F18" i="3"/>
  <c r="E5" i="3"/>
  <c r="I17" i="3"/>
  <c r="F17" i="3" s="1"/>
  <c r="E13" i="3"/>
  <c r="I12" i="3"/>
  <c r="F12" i="3" s="1"/>
  <c r="I13" i="3"/>
  <c r="I14" i="3"/>
  <c r="F14" i="3" s="1"/>
  <c r="I15" i="3"/>
  <c r="F15" i="3" s="1"/>
  <c r="I16" i="3"/>
  <c r="F16" i="3" s="1"/>
  <c r="I11" i="3"/>
  <c r="F11" i="3" s="1"/>
  <c r="I10" i="3"/>
  <c r="D9" i="3"/>
  <c r="I9" i="3" s="1"/>
  <c r="F9" i="3" s="1"/>
  <c r="I8" i="3"/>
  <c r="F8" i="3" s="1"/>
  <c r="I7" i="3"/>
  <c r="I6" i="3"/>
  <c r="F6" i="3" s="1"/>
  <c r="D5" i="3"/>
  <c r="I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0" i="3" l="1"/>
  <c r="F13" i="3"/>
  <c r="F7" i="3"/>
  <c r="F33" i="3"/>
  <c r="F32" i="3"/>
  <c r="F5" i="3"/>
  <c r="R43" i="4"/>
  <c r="F3" i="3"/>
  <c r="F35" i="3" l="1"/>
  <c r="F34" i="3"/>
</calcChain>
</file>

<file path=xl/sharedStrings.xml><?xml version="1.0" encoding="utf-8"?>
<sst xmlns="http://schemas.openxmlformats.org/spreadsheetml/2006/main" count="476" uniqueCount="71">
  <si>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</si>
  <si>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</si>
  <si>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</si>
  <si>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</si>
  <si>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</si>
  <si>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</si>
  <si>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</si>
  <si>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</si>
  <si>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</si>
  <si>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</si>
  <si>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</si>
  <si>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</si>
  <si>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</si>
  <si>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</si>
  <si>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</si>
  <si>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</si>
  <si>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</si>
  <si>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</si>
  <si>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</si>
  <si>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</si>
  <si>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</si>
  <si>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</si>
  <si>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</si>
  <si>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</si>
  <si>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</si>
  <si>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</si>
  <si>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</si>
  <si>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</si>
  <si>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</si>
  <si>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</si>
  <si>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</si>
  <si>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</si>
  <si>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</si>
  <si>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</si>
  <si>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</si>
  <si>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</si>
  <si>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</si>
  <si>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</si>
  <si>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</si>
  <si>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</si>
  <si>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</si>
  <si>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</si>
  <si>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</si>
  <si>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</si>
  <si>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</si>
  <si>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</si>
  <si>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</si>
  <si>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</si>
  <si>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</si>
  <si>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</si>
  <si>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</si>
  <si>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</si>
  <si>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</si>
  <si>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</si>
  <si>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</si>
  <si>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</si>
  <si>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</si>
  <si>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</si>
  <si>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</si>
  <si>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</si>
  <si>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</si>
  <si>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</si>
  <si>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</si>
  <si>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</si>
  <si>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Mua thẻ Zing + Garena</t>
  </si>
  <si>
    <t>Phan Trà Phương Trang</t>
  </si>
  <si>
    <t>Chênh lệch:</t>
  </si>
  <si>
    <t>Nguyễn Hoàng Gia Hân</t>
  </si>
  <si>
    <t>Mua thẻ tháng Free Fire</t>
  </si>
  <si>
    <t>Nợ mẹ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</si>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</sst>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1"/>
  <sheetViews>
    <sheetView tabSelected="1" zoomScale="85" zoomScaleNormal="85" workbookViewId="0">
      <selection activeCell="L7" sqref="L7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490000</v>
      </c>
      <c r="G2" s="32">
        <v>0</v>
      </c>
      <c r="H2" s="33">
        <v>0.4</v>
      </c>
      <c r="I2" s="32">
        <f>(D2*H2)</f>
        <v>140000</v>
      </c>
      <c r="J2" s="16">
        <v>45984</v>
      </c>
      <c r="K2" s="16">
        <v>46053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8">
        <v>2000</v>
      </c>
      <c r="E4" s="28">
        <v>0</v>
      </c>
      <c r="F4" s="28">
        <f t="shared" ref="F4" si="2">(D4+I4)-E4</f>
        <v>2200</v>
      </c>
      <c r="G4" s="28">
        <v>0</v>
      </c>
      <c r="H4" s="29">
        <v>0.1</v>
      </c>
      <c r="I4" s="28">
        <f t="shared" ref="I4" si="3">D4*H4</f>
        <v>200</v>
      </c>
      <c r="J4" s="4">
        <v>46022</v>
      </c>
      <c r="K4" s="4">
        <v>46049</v>
      </c>
      <c r="L4" s="4"/>
      <c r="M4" s="1" t="s">
        <v>14</v>
      </c>
    </row>
    <row r="5" spans="1:17" x14ac:dyDescent="0.25">
      <c r="A5" s="1">
        <v>4</v>
      </c>
      <c r="B5" s="24" t="s">
        <v>8</v>
      </c>
      <c r="C5" s="1" t="s">
        <v>3</v>
      </c>
      <c r="D5" s="28">
        <f>100000+20000+10000</f>
        <v>130000</v>
      </c>
      <c r="E5" s="28">
        <f>10000+5000+5000+10000+30000</f>
        <v>60000</v>
      </c>
      <c r="F5" s="28">
        <f t="shared" ref="F5" si="4">(D5+I5)-E5</f>
        <v>76500</v>
      </c>
      <c r="G5" s="28">
        <v>0</v>
      </c>
      <c r="H5" s="29">
        <v>0.05</v>
      </c>
      <c r="I5" s="28">
        <f t="shared" ref="I5" si="5">D5*H5</f>
        <v>6500</v>
      </c>
      <c r="J5" s="4">
        <v>46037</v>
      </c>
      <c r="K5" s="4">
        <v>46049</v>
      </c>
      <c r="L5" s="4"/>
      <c r="M5" s="1" t="s">
        <v>14</v>
      </c>
    </row>
    <row r="6" spans="1:17" x14ac:dyDescent="0.25">
      <c r="A6" s="1">
        <v>5</v>
      </c>
      <c r="B6" s="24" t="s">
        <v>22</v>
      </c>
      <c r="C6" s="1" t="s">
        <v>57</v>
      </c>
      <c r="D6" s="28">
        <v>100000</v>
      </c>
      <c r="E6" s="28">
        <v>0</v>
      </c>
      <c r="F6" s="28">
        <f t="shared" ref="F6" si="6">(D6+I6)-E6</f>
        <v>100000</v>
      </c>
      <c r="G6" s="28">
        <v>0</v>
      </c>
      <c r="H6" s="29">
        <v>0</v>
      </c>
      <c r="I6" s="28">
        <f t="shared" ref="I6" si="7">D6*H6</f>
        <v>0</v>
      </c>
      <c r="J6" s="4">
        <v>46041</v>
      </c>
      <c r="K6" s="4">
        <v>46054</v>
      </c>
      <c r="L6" s="4"/>
      <c r="M6" s="1" t="s">
        <v>14</v>
      </c>
    </row>
    <row r="7" spans="1:17" x14ac:dyDescent="0.25">
      <c r="A7" s="1">
        <v>6</v>
      </c>
      <c r="B7" s="41" t="s">
        <v>22</v>
      </c>
      <c r="C7" s="42" t="s">
        <v>52</v>
      </c>
      <c r="D7" s="43">
        <v>100000</v>
      </c>
      <c r="E7" s="43">
        <f>92000+8000</f>
        <v>100000</v>
      </c>
      <c r="F7" s="43">
        <f t="shared" ref="F7" si="8">(D7+I7)-E7</f>
        <v>0</v>
      </c>
      <c r="G7" s="43">
        <v>0</v>
      </c>
      <c r="H7" s="44">
        <v>0</v>
      </c>
      <c r="I7" s="43">
        <f t="shared" ref="I7" si="9">D7*H7</f>
        <v>0</v>
      </c>
      <c r="J7" s="45">
        <v>46041</v>
      </c>
      <c r="K7" s="45">
        <v>46048</v>
      </c>
      <c r="L7" s="45"/>
      <c r="M7" s="42" t="s">
        <v>70</v>
      </c>
    </row>
    <row r="8" spans="1:17" x14ac:dyDescent="0.25">
      <c r="A8" s="1">
        <v>7</v>
      </c>
      <c r="B8" s="41" t="s">
        <v>22</v>
      </c>
      <c r="C8" s="42" t="s">
        <v>52</v>
      </c>
      <c r="D8" s="43">
        <v>20000</v>
      </c>
      <c r="E8" s="43">
        <v>20000</v>
      </c>
      <c r="F8" s="43">
        <f t="shared" ref="F8" si="10">(D8+I8)-E8</f>
        <v>0</v>
      </c>
      <c r="G8" s="43">
        <v>0</v>
      </c>
      <c r="H8" s="44">
        <v>0</v>
      </c>
      <c r="I8" s="43">
        <f t="shared" ref="I8" si="11">D8*H8</f>
        <v>0</v>
      </c>
      <c r="J8" s="45">
        <v>46041</v>
      </c>
      <c r="K8" s="45">
        <v>46048</v>
      </c>
      <c r="L8" s="45"/>
      <c r="M8" s="42" t="s">
        <v>70</v>
      </c>
    </row>
    <row r="9" spans="1:17" x14ac:dyDescent="0.25">
      <c r="A9" s="1">
        <v>8</v>
      </c>
      <c r="B9" s="24" t="s">
        <v>22</v>
      </c>
      <c r="C9" s="1" t="s">
        <v>64</v>
      </c>
      <c r="D9" s="28">
        <f>50000+20000+20000</f>
        <v>90000</v>
      </c>
      <c r="E9" s="28">
        <f>22000</f>
        <v>22000</v>
      </c>
      <c r="F9" s="28">
        <f t="shared" ref="F9" si="12">(D9+I9)-E9</f>
        <v>68000</v>
      </c>
      <c r="G9" s="28">
        <v>0</v>
      </c>
      <c r="H9" s="29">
        <v>0</v>
      </c>
      <c r="I9" s="28">
        <f t="shared" ref="I9" si="13">D9*H9</f>
        <v>0</v>
      </c>
      <c r="J9" s="4">
        <v>46042</v>
      </c>
      <c r="K9" s="4">
        <v>46048</v>
      </c>
      <c r="L9" s="4"/>
      <c r="M9" s="1" t="s">
        <v>14</v>
      </c>
    </row>
    <row r="10" spans="1:17" x14ac:dyDescent="0.25">
      <c r="A10" s="1">
        <v>9</v>
      </c>
      <c r="B10" s="39" t="s">
        <v>20</v>
      </c>
      <c r="C10" s="1" t="s">
        <v>3</v>
      </c>
      <c r="D10" s="28">
        <v>100000</v>
      </c>
      <c r="E10" s="28">
        <f>13000+83000</f>
        <v>96000</v>
      </c>
      <c r="F10" s="28">
        <f t="shared" ref="F10" si="14">(D10+I10)-E10</f>
        <v>4000</v>
      </c>
      <c r="G10" s="28">
        <v>0</v>
      </c>
      <c r="H10" s="29">
        <v>0</v>
      </c>
      <c r="I10" s="28">
        <f t="shared" ref="I10" si="15">D10*H10</f>
        <v>0</v>
      </c>
      <c r="J10" s="4">
        <v>46042</v>
      </c>
      <c r="K10" s="4">
        <v>46048</v>
      </c>
      <c r="L10" s="4"/>
      <c r="M10" s="1" t="s">
        <v>14</v>
      </c>
    </row>
    <row r="11" spans="1:17" x14ac:dyDescent="0.25">
      <c r="A11" s="1">
        <v>10</v>
      </c>
      <c r="B11" s="41" t="s">
        <v>26</v>
      </c>
      <c r="C11" s="42" t="s">
        <v>30</v>
      </c>
      <c r="D11" s="43">
        <v>5000</v>
      </c>
      <c r="E11" s="43">
        <v>5000</v>
      </c>
      <c r="F11" s="43">
        <f t="shared" ref="F11" si="16">(D11+I11)-E11</f>
        <v>0</v>
      </c>
      <c r="G11" s="43">
        <v>0</v>
      </c>
      <c r="H11" s="44">
        <v>0</v>
      </c>
      <c r="I11" s="43">
        <f t="shared" ref="I11" si="17">D11*H11</f>
        <v>0</v>
      </c>
      <c r="J11" s="45">
        <v>46043</v>
      </c>
      <c r="K11" s="45">
        <v>46048</v>
      </c>
      <c r="L11" s="45"/>
      <c r="M11" s="42" t="s">
        <v>70</v>
      </c>
    </row>
    <row r="12" spans="1:17" x14ac:dyDescent="0.25">
      <c r="A12" s="1">
        <v>11</v>
      </c>
      <c r="B12" s="24" t="s">
        <v>39</v>
      </c>
      <c r="C12" s="1" t="s">
        <v>30</v>
      </c>
      <c r="D12" s="28">
        <v>150000</v>
      </c>
      <c r="E12" s="28">
        <v>100000</v>
      </c>
      <c r="F12" s="28">
        <f t="shared" ref="F12:F16" si="18">(D12+I12)-E12</f>
        <v>50000</v>
      </c>
      <c r="G12" s="28">
        <v>0</v>
      </c>
      <c r="H12" s="29">
        <v>0</v>
      </c>
      <c r="I12" s="28">
        <f t="shared" ref="I12:I16" si="19">D12*H12</f>
        <v>0</v>
      </c>
      <c r="J12" s="4">
        <v>46043</v>
      </c>
      <c r="K12" s="4">
        <v>46049</v>
      </c>
      <c r="L12" s="4"/>
      <c r="M12" s="1" t="s">
        <v>14</v>
      </c>
    </row>
    <row r="13" spans="1:17" x14ac:dyDescent="0.25">
      <c r="A13" s="1">
        <v>12</v>
      </c>
      <c r="B13" s="24" t="s">
        <v>25</v>
      </c>
      <c r="C13" s="1" t="s">
        <v>57</v>
      </c>
      <c r="D13" s="28">
        <v>190000</v>
      </c>
      <c r="E13" s="28">
        <f>150000</f>
        <v>150000</v>
      </c>
      <c r="F13" s="28">
        <f t="shared" si="18"/>
        <v>40000</v>
      </c>
      <c r="G13" s="28">
        <v>0</v>
      </c>
      <c r="H13" s="29">
        <v>0</v>
      </c>
      <c r="I13" s="28">
        <f t="shared" si="19"/>
        <v>0</v>
      </c>
      <c r="J13" s="4">
        <v>46043</v>
      </c>
      <c r="K13" s="4">
        <v>46049</v>
      </c>
      <c r="L13" s="4"/>
      <c r="M13" s="1" t="s">
        <v>14</v>
      </c>
    </row>
    <row r="14" spans="1:17" x14ac:dyDescent="0.25">
      <c r="A14" s="1">
        <v>13</v>
      </c>
      <c r="B14" s="24" t="s">
        <v>42</v>
      </c>
      <c r="C14" s="1" t="s">
        <v>3</v>
      </c>
      <c r="D14" s="28">
        <v>50000</v>
      </c>
      <c r="E14" s="28">
        <v>0</v>
      </c>
      <c r="F14" s="28">
        <f t="shared" si="18"/>
        <v>50000</v>
      </c>
      <c r="G14" s="28">
        <v>0</v>
      </c>
      <c r="H14" s="29">
        <v>0</v>
      </c>
      <c r="I14" s="28">
        <f t="shared" si="19"/>
        <v>0</v>
      </c>
      <c r="J14" s="4">
        <v>46043</v>
      </c>
      <c r="K14" s="4">
        <v>46049</v>
      </c>
      <c r="L14" s="4"/>
      <c r="M14" s="1" t="s">
        <v>14</v>
      </c>
    </row>
    <row r="15" spans="1:17" x14ac:dyDescent="0.25">
      <c r="A15" s="1">
        <v>14</v>
      </c>
      <c r="B15" s="41" t="s">
        <v>26</v>
      </c>
      <c r="C15" s="42" t="s">
        <v>30</v>
      </c>
      <c r="D15" s="43">
        <v>10000</v>
      </c>
      <c r="E15" s="43">
        <v>10000</v>
      </c>
      <c r="F15" s="43">
        <f t="shared" si="18"/>
        <v>0</v>
      </c>
      <c r="G15" s="43">
        <v>0</v>
      </c>
      <c r="H15" s="44">
        <v>0</v>
      </c>
      <c r="I15" s="43">
        <f t="shared" si="19"/>
        <v>0</v>
      </c>
      <c r="J15" s="45">
        <v>46043</v>
      </c>
      <c r="K15" s="45">
        <v>46048</v>
      </c>
      <c r="L15" s="45"/>
      <c r="M15" s="42" t="s">
        <v>70</v>
      </c>
    </row>
    <row r="16" spans="1:17" x14ac:dyDescent="0.25">
      <c r="A16" s="1">
        <v>15</v>
      </c>
      <c r="B16" s="41" t="s">
        <v>26</v>
      </c>
      <c r="C16" s="42" t="s">
        <v>24</v>
      </c>
      <c r="D16" s="43">
        <v>10000</v>
      </c>
      <c r="E16" s="43">
        <v>10000</v>
      </c>
      <c r="F16" s="43">
        <f t="shared" si="18"/>
        <v>0</v>
      </c>
      <c r="G16" s="43">
        <v>0</v>
      </c>
      <c r="H16" s="44">
        <v>0</v>
      </c>
      <c r="I16" s="43">
        <f t="shared" si="19"/>
        <v>0</v>
      </c>
      <c r="J16" s="45">
        <v>46043</v>
      </c>
      <c r="K16" s="45">
        <v>46048</v>
      </c>
      <c r="L16" s="45"/>
      <c r="M16" s="42" t="s">
        <v>70</v>
      </c>
    </row>
    <row r="17" spans="1:13" x14ac:dyDescent="0.25">
      <c r="A17" s="1">
        <v>16</v>
      </c>
      <c r="B17" s="24" t="s">
        <v>67</v>
      </c>
      <c r="C17" s="1" t="s">
        <v>3</v>
      </c>
      <c r="D17" s="28">
        <v>120000</v>
      </c>
      <c r="E17" s="28">
        <v>100000</v>
      </c>
      <c r="F17" s="28">
        <f t="shared" ref="F17" si="20">(D17+I17)-E17</f>
        <v>20000</v>
      </c>
      <c r="G17" s="28">
        <v>0</v>
      </c>
      <c r="H17" s="29">
        <v>0</v>
      </c>
      <c r="I17" s="28">
        <f t="shared" ref="I17" si="21">D17*H17</f>
        <v>0</v>
      </c>
      <c r="J17" s="4">
        <v>46044</v>
      </c>
      <c r="K17" s="4">
        <v>46050</v>
      </c>
      <c r="L17" s="4"/>
      <c r="M17" s="1" t="s">
        <v>14</v>
      </c>
    </row>
    <row r="18" spans="1:13" x14ac:dyDescent="0.25">
      <c r="A18" s="1">
        <v>17</v>
      </c>
      <c r="B18" s="24" t="s">
        <v>26</v>
      </c>
      <c r="C18" s="1" t="s">
        <v>30</v>
      </c>
      <c r="D18" s="28">
        <v>100000</v>
      </c>
      <c r="E18" s="28">
        <f>75000</f>
        <v>75000</v>
      </c>
      <c r="F18" s="28">
        <f t="shared" ref="F18" si="22">(D18+I18)-E18</f>
        <v>25000</v>
      </c>
      <c r="G18" s="28">
        <v>0</v>
      </c>
      <c r="H18" s="29">
        <v>0</v>
      </c>
      <c r="I18" s="28">
        <f t="shared" ref="I18" si="23">D18*H18</f>
        <v>0</v>
      </c>
      <c r="J18" s="4">
        <v>46045</v>
      </c>
      <c r="K18" s="4">
        <v>46051</v>
      </c>
      <c r="L18" s="4"/>
      <c r="M18" s="1" t="s">
        <v>14</v>
      </c>
    </row>
    <row r="19" spans="1:13" x14ac:dyDescent="0.25">
      <c r="A19" s="1">
        <v>18</v>
      </c>
      <c r="B19" s="24" t="s">
        <v>42</v>
      </c>
      <c r="C19" s="1" t="s">
        <v>30</v>
      </c>
      <c r="D19" s="28">
        <v>100000</v>
      </c>
      <c r="E19" s="28">
        <v>0</v>
      </c>
      <c r="F19" s="28">
        <f t="shared" ref="F19:F20" si="24">(D19+I19)-E19</f>
        <v>100000</v>
      </c>
      <c r="G19" s="28">
        <v>0</v>
      </c>
      <c r="H19" s="29">
        <v>0</v>
      </c>
      <c r="I19" s="28">
        <f t="shared" ref="I19:I20" si="25">D19*H19</f>
        <v>0</v>
      </c>
      <c r="J19" s="4">
        <v>46045</v>
      </c>
      <c r="K19" s="4">
        <v>46051</v>
      </c>
      <c r="L19" s="4"/>
      <c r="M19" s="1" t="s">
        <v>14</v>
      </c>
    </row>
    <row r="20" spans="1:13" x14ac:dyDescent="0.25">
      <c r="A20" s="1">
        <v>19</v>
      </c>
      <c r="B20" s="41" t="s">
        <v>17</v>
      </c>
      <c r="C20" s="42" t="s">
        <v>57</v>
      </c>
      <c r="D20" s="43">
        <v>60000</v>
      </c>
      <c r="E20" s="43">
        <v>60000</v>
      </c>
      <c r="F20" s="43">
        <f t="shared" si="24"/>
        <v>0</v>
      </c>
      <c r="G20" s="43">
        <v>0</v>
      </c>
      <c r="H20" s="44">
        <v>0</v>
      </c>
      <c r="I20" s="43">
        <f t="shared" si="25"/>
        <v>0</v>
      </c>
      <c r="J20" s="45">
        <v>46045</v>
      </c>
      <c r="K20" s="45">
        <v>46048</v>
      </c>
      <c r="L20" s="45"/>
      <c r="M20" s="42" t="s">
        <v>70</v>
      </c>
    </row>
    <row r="21" spans="1:13" x14ac:dyDescent="0.25">
      <c r="A21" s="1">
        <v>20</v>
      </c>
      <c r="B21" s="24" t="s">
        <v>67</v>
      </c>
      <c r="C21" s="1" t="s">
        <v>3</v>
      </c>
      <c r="D21" s="28">
        <v>200000</v>
      </c>
      <c r="E21" s="28">
        <v>0</v>
      </c>
      <c r="F21" s="28">
        <f t="shared" ref="F21" si="26">(D21+I21)-E21</f>
        <v>200000</v>
      </c>
      <c r="G21" s="28">
        <v>0</v>
      </c>
      <c r="H21" s="29">
        <v>0</v>
      </c>
      <c r="I21" s="28">
        <f t="shared" ref="I21" si="27">D21*H21</f>
        <v>0</v>
      </c>
      <c r="J21" s="4">
        <v>46045</v>
      </c>
      <c r="K21" s="4">
        <v>46051</v>
      </c>
      <c r="L21" s="4"/>
      <c r="M21" s="1" t="s">
        <v>14</v>
      </c>
    </row>
    <row r="22" spans="1:13" x14ac:dyDescent="0.25">
      <c r="A22" s="1">
        <v>21</v>
      </c>
      <c r="B22" s="24" t="s">
        <v>21</v>
      </c>
      <c r="C22" s="1" t="s">
        <v>30</v>
      </c>
      <c r="D22" s="28">
        <v>100000</v>
      </c>
      <c r="E22" s="28">
        <f>20000</f>
        <v>20000</v>
      </c>
      <c r="F22" s="28">
        <f t="shared" ref="F22" si="28">(D22+I22)-E22</f>
        <v>80000</v>
      </c>
      <c r="G22" s="28">
        <v>0</v>
      </c>
      <c r="H22" s="29">
        <v>0</v>
      </c>
      <c r="I22" s="28">
        <f t="shared" ref="I22" si="29">D22*H22</f>
        <v>0</v>
      </c>
      <c r="J22" s="4">
        <v>46046</v>
      </c>
      <c r="K22" s="4">
        <v>46052</v>
      </c>
      <c r="L22" s="4"/>
      <c r="M22" s="1" t="s">
        <v>14</v>
      </c>
    </row>
    <row r="23" spans="1:13" x14ac:dyDescent="0.25">
      <c r="A23" s="1">
        <v>22</v>
      </c>
      <c r="B23" s="24" t="s">
        <v>36</v>
      </c>
      <c r="C23" s="1" t="s">
        <v>3</v>
      </c>
      <c r="D23" s="28">
        <v>20000</v>
      </c>
      <c r="E23" s="28">
        <v>0</v>
      </c>
      <c r="F23" s="28">
        <f t="shared" ref="F23" si="30">(D23+I23)-E23</f>
        <v>20000</v>
      </c>
      <c r="G23" s="28">
        <v>0</v>
      </c>
      <c r="H23" s="29">
        <v>0</v>
      </c>
      <c r="I23" s="28">
        <f t="shared" ref="I23" si="31">D23*H23</f>
        <v>0</v>
      </c>
      <c r="J23" s="4">
        <v>46046</v>
      </c>
      <c r="K23" s="4">
        <v>46052</v>
      </c>
      <c r="L23" s="4"/>
      <c r="M23" s="1" t="s">
        <v>14</v>
      </c>
    </row>
    <row r="24" spans="1:13" x14ac:dyDescent="0.25">
      <c r="A24" s="1">
        <v>23</v>
      </c>
      <c r="B24" s="24" t="s">
        <v>19</v>
      </c>
      <c r="C24" s="1" t="s">
        <v>16</v>
      </c>
      <c r="D24" s="28">
        <v>200000</v>
      </c>
      <c r="E24" s="28">
        <v>0</v>
      </c>
      <c r="F24" s="28">
        <f t="shared" ref="F24:F25" si="32">(D24+I24)-E24</f>
        <v>200000</v>
      </c>
      <c r="G24" s="28">
        <v>0</v>
      </c>
      <c r="H24" s="29">
        <v>0</v>
      </c>
      <c r="I24" s="28">
        <f t="shared" ref="I24:I25" si="33">D24*H24</f>
        <v>0</v>
      </c>
      <c r="J24" s="4">
        <v>46047</v>
      </c>
      <c r="K24" s="4">
        <v>46053</v>
      </c>
      <c r="L24" s="4"/>
      <c r="M24" s="1" t="s">
        <v>14</v>
      </c>
    </row>
    <row r="25" spans="1:13" x14ac:dyDescent="0.25">
      <c r="A25" s="1">
        <v>24</v>
      </c>
      <c r="B25" s="41" t="s">
        <v>65</v>
      </c>
      <c r="C25" s="42" t="s">
        <v>16</v>
      </c>
      <c r="D25" s="43">
        <v>100000</v>
      </c>
      <c r="E25" s="43">
        <v>100000</v>
      </c>
      <c r="F25" s="43">
        <f t="shared" si="32"/>
        <v>0</v>
      </c>
      <c r="G25" s="43">
        <v>0</v>
      </c>
      <c r="H25" s="44">
        <v>0</v>
      </c>
      <c r="I25" s="43">
        <f t="shared" si="33"/>
        <v>0</v>
      </c>
      <c r="J25" s="45">
        <v>46047</v>
      </c>
      <c r="K25" s="45">
        <v>46048</v>
      </c>
      <c r="L25" s="45"/>
      <c r="M25" s="42" t="s">
        <v>70</v>
      </c>
    </row>
    <row r="26" spans="1:13" x14ac:dyDescent="0.25">
      <c r="A26" s="1">
        <v>25</v>
      </c>
      <c r="B26" s="41" t="s">
        <v>15</v>
      </c>
      <c r="C26" s="42" t="s">
        <v>30</v>
      </c>
      <c r="D26" s="43">
        <v>50000</v>
      </c>
      <c r="E26" s="43">
        <v>50000</v>
      </c>
      <c r="F26" s="43">
        <v>50000</v>
      </c>
      <c r="G26" s="43">
        <v>0</v>
      </c>
      <c r="H26" s="44">
        <v>0</v>
      </c>
      <c r="I26" s="43">
        <f t="shared" ref="I26" si="34">D26*H26</f>
        <v>0</v>
      </c>
      <c r="J26" s="45">
        <v>46047</v>
      </c>
      <c r="K26" s="45">
        <v>46048</v>
      </c>
      <c r="L26" s="45"/>
      <c r="M26" s="42" t="s">
        <v>70</v>
      </c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37"/>
      <c r="E30" s="37"/>
      <c r="F30" s="37"/>
      <c r="G30" s="37"/>
      <c r="H30" s="24"/>
      <c r="I30" s="37"/>
      <c r="J30" s="24"/>
      <c r="K30" s="38"/>
      <c r="L30" s="38"/>
      <c r="M30" s="24"/>
    </row>
    <row r="31" spans="1:13" ht="24" x14ac:dyDescent="0.25">
      <c r="B31" s="34" t="s">
        <v>33</v>
      </c>
      <c r="C31" s="34"/>
      <c r="D31" s="47" t="s">
        <v>34</v>
      </c>
      <c r="E31" s="47"/>
      <c r="F31" s="47"/>
      <c r="G31" s="47"/>
    </row>
    <row r="32" spans="1:13" x14ac:dyDescent="0.25">
      <c r="D32" s="46" t="s">
        <v>28</v>
      </c>
      <c r="E32" s="46"/>
      <c r="F32" s="35">
        <f>SUM(D2:D30)</f>
        <v>2387000</v>
      </c>
      <c r="G32" s="36"/>
      <c r="J32" s="36"/>
    </row>
    <row r="33" spans="4:13" x14ac:dyDescent="0.25">
      <c r="D33" s="46" t="s">
        <v>29</v>
      </c>
      <c r="E33" s="46"/>
      <c r="F33" s="35">
        <f>SUM(E2:E30)</f>
        <v>993000</v>
      </c>
      <c r="G33" s="36"/>
      <c r="M33" s="25" t="s">
        <v>41</v>
      </c>
    </row>
    <row r="34" spans="4:13" x14ac:dyDescent="0.25">
      <c r="D34" s="46" t="s">
        <v>66</v>
      </c>
      <c r="E34" s="46"/>
      <c r="F34" s="35">
        <f>F33-F32</f>
        <v>-1394000</v>
      </c>
      <c r="G34" s="36"/>
    </row>
    <row r="35" spans="4:13" x14ac:dyDescent="0.25">
      <c r="D35" s="46" t="s">
        <v>27</v>
      </c>
      <c r="E35" s="46"/>
      <c r="F35" s="35">
        <f>SUM(F2:F30)</f>
        <v>1590700</v>
      </c>
    </row>
    <row r="36" spans="4:13" x14ac:dyDescent="0.25">
      <c r="G36" s="36"/>
    </row>
    <row r="37" spans="4:13" x14ac:dyDescent="0.25">
      <c r="D37" s="25" t="s">
        <v>62</v>
      </c>
      <c r="E37" s="28">
        <f>150000+100000+400000</f>
        <v>650000</v>
      </c>
      <c r="F37" s="36"/>
      <c r="G37" s="36"/>
    </row>
    <row r="38" spans="4:13" x14ac:dyDescent="0.25">
      <c r="D38" s="25" t="s">
        <v>69</v>
      </c>
      <c r="E38" s="28">
        <v>0</v>
      </c>
      <c r="F38" s="36"/>
      <c r="G38" s="36"/>
    </row>
    <row r="39" spans="4:13" x14ac:dyDescent="0.25">
      <c r="F39" s="36"/>
    </row>
    <row r="40" spans="4:13" x14ac:dyDescent="0.25">
      <c r="F40" s="40"/>
    </row>
    <row r="41" spans="4:13" x14ac:dyDescent="0.25">
      <c r="F41" s="36"/>
    </row>
  </sheetData>
  <autoFilter ref="A1:M34" xr:uid="{B426C2E0-1FB2-4505-A56E-E149D9D304FF}"/>
  <mergeCells count="5">
    <mergeCell ref="D32:E32"/>
    <mergeCell ref="D33:E33"/>
    <mergeCell ref="D35:E35"/>
    <mergeCell ref="D31:G31"/>
    <mergeCell ref="D34:E34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211"/>
  <sheetViews>
    <sheetView topLeftCell="A195" workbookViewId="0">
      <selection activeCell="D209" sqref="D20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65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67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68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68</v>
      </c>
    </row>
    <row r="197" spans="1:4" ht="18.75" x14ac:dyDescent="0.25">
      <c r="A197" s="21">
        <v>46044</v>
      </c>
      <c r="B197" s="19" t="s">
        <v>67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67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65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/>
      <c r="B209" s="19"/>
      <c r="C209" s="20"/>
      <c r="D209" s="22"/>
    </row>
    <row r="210" spans="1:4" ht="18.75" x14ac:dyDescent="0.25">
      <c r="A210" s="21"/>
      <c r="B210" s="19"/>
      <c r="C210" s="20"/>
      <c r="D210" s="22"/>
    </row>
    <row r="211" spans="1:4" ht="18.75" x14ac:dyDescent="0.25">
      <c r="A211" s="21"/>
      <c r="B211" s="19"/>
      <c r="C211" s="20"/>
      <c r="D21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2026-01-26T09:32:57Z</dcterms:modified>
</cp:coreProperties>
</file>