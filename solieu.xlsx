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7B08213C-434D-465C-829B-6A0ECEF5A890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NỢ'!$A$1:$M$20</definedName>
    <definedName name="_xlnm._FilterDatabase" localSheetId="2" hidden="1">'THỐNG KÊ NẠP'!$A$1:$U$41</definedName>
    <definedName name="_xlnm._FilterDatabase" localSheetId="1" hidden="1">'THONG KE NAP '!$A$1:$D$99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F12" i="3" s="1"/>
  <c r="I11" i="3"/>
  <c r="F11" i="3" s="1"/>
  <c r="E5" i="3"/>
  <c r="E6" i="3"/>
  <c r="E3" i="3"/>
  <c r="I10" i="3"/>
  <c r="F10" i="3" s="1"/>
  <c r="I8" i="3"/>
  <c r="F8" i="3" s="1"/>
  <c r="D9" i="3"/>
  <c r="I9" i="3" s="1"/>
  <c r="F9" i="3" s="1"/>
  <c r="I7" i="3"/>
  <c r="F7" i="3" s="1"/>
  <c r="U43" i="4"/>
  <c r="T43" i="4"/>
  <c r="R26" i="4"/>
  <c r="R25" i="4"/>
  <c r="R19" i="4"/>
  <c r="R8" i="4"/>
  <c r="G20" i="4"/>
  <c r="G43" i="4" s="1"/>
  <c r="F10" i="4"/>
  <c r="E16" i="4"/>
  <c r="D6" i="3"/>
  <c r="I6" i="3" s="1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18" i="3"/>
  <c r="R43" i="4"/>
  <c r="F3" i="3"/>
  <c r="F19" i="3"/>
  <c r="F20" i="3" l="1"/>
</calcChain>
</file>

<file path=xl/sharedStrings.xml><?xml version="1.0" encoding="utf-8"?>
<sst xmlns="http://schemas.openxmlformats.org/spreadsheetml/2006/main" count="213" uniqueCount="54">
  <si>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</si>
  <si>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</si>
  <si>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</si>
  <si>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</si>
  <si>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</si>
  <si>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</si>
  <si>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</si>
  <si>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</si>
  <si>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</si>
  <si>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</si>
  <si>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</si>
  <si>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</si>
  <si>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</si>
  <si>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</si>
  <si>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</si>
  <si>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</si>
  <si>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</si>
  <si>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</si>
  <si>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</si>
  <si>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</si>
  <si>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</si>
  <si>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</si>
  <si>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</si>
  <si>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</si>
  <si>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</si>
  <si>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</si>
  <si>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</si>
  <si>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</si>
  <si>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</si>
  <si>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</si>
  <si>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</si>
  <si>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</si>
  <si>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</si>
  <si>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</si>
  <si>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</si>
  <si>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</si>
  <si>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</si>
  <si>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</si>
  <si>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</si>
  <si>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</si>
  <si>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</si>
  <si>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</si>
  <si>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</si>
  <si>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</si>
  <si>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</si>
  <si>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</si>
  <si>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</si>
  <si>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</si>
  <si>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</si>
  <si>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</si>
  <si>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</si>
  <si>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</si>
  <si>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Đã trả đủ</t>
  </si>
  <si>
    <t>Mua thẻ Garena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</si>
</sst>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6"/>
  <sheetViews>
    <sheetView tabSelected="1" zoomScale="85" zoomScaleNormal="85" workbookViewId="0">
      <selection activeCell="P8" sqref="P8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39" t="s">
        <v>20</v>
      </c>
      <c r="C6" s="40" t="s">
        <v>3</v>
      </c>
      <c r="D6" s="41">
        <f>100000+50000</f>
        <v>150000</v>
      </c>
      <c r="E6" s="41">
        <f>10000+5000+23000+10000+50000+20000+39000</f>
        <v>157000</v>
      </c>
      <c r="F6" s="41">
        <f t="shared" ref="F6" si="4">(D6+I6)-E6</f>
        <v>-7000</v>
      </c>
      <c r="G6" s="41">
        <v>7000</v>
      </c>
      <c r="H6" s="42">
        <v>0</v>
      </c>
      <c r="I6" s="41">
        <f t="shared" ref="I6" si="5">D6*H6</f>
        <v>0</v>
      </c>
      <c r="J6" s="43">
        <v>46001</v>
      </c>
      <c r="K6" s="43">
        <v>46014</v>
      </c>
      <c r="L6" s="43"/>
      <c r="M6" s="40" t="s">
        <v>52</v>
      </c>
    </row>
    <row r="7" spans="1:17" x14ac:dyDescent="0.25">
      <c r="A7" s="1">
        <v>6</v>
      </c>
      <c r="B7" s="26" t="s">
        <v>8</v>
      </c>
      <c r="C7" s="7" t="s">
        <v>3</v>
      </c>
      <c r="D7" s="30">
        <v>20000</v>
      </c>
      <c r="E7" s="30">
        <v>0</v>
      </c>
      <c r="F7" s="30">
        <f t="shared" ref="F7" si="6">(D7+I7)-E7</f>
        <v>20000</v>
      </c>
      <c r="G7" s="30">
        <v>0</v>
      </c>
      <c r="H7" s="31">
        <v>0</v>
      </c>
      <c r="I7" s="30">
        <f t="shared" ref="I7" si="7">D7*H7</f>
        <v>0</v>
      </c>
      <c r="J7" s="8">
        <v>46006</v>
      </c>
      <c r="K7" s="8"/>
      <c r="L7" s="8"/>
      <c r="M7" s="7" t="s">
        <v>14</v>
      </c>
    </row>
    <row r="8" spans="1:17" x14ac:dyDescent="0.25">
      <c r="A8" s="1">
        <v>7</v>
      </c>
      <c r="B8" s="24" t="s">
        <v>39</v>
      </c>
      <c r="C8" s="1" t="s">
        <v>30</v>
      </c>
      <c r="D8" s="28">
        <v>100000</v>
      </c>
      <c r="E8" s="28">
        <v>0</v>
      </c>
      <c r="F8" s="28">
        <f t="shared" ref="F8:F9" si="8">(D8+I8)-E8</f>
        <v>100000</v>
      </c>
      <c r="G8" s="28">
        <v>0</v>
      </c>
      <c r="H8" s="29">
        <v>0</v>
      </c>
      <c r="I8" s="28">
        <f t="shared" ref="I8:I9" si="9">D8*H8</f>
        <v>0</v>
      </c>
      <c r="J8" s="4">
        <v>46010</v>
      </c>
      <c r="K8" s="4">
        <v>46016</v>
      </c>
      <c r="L8" s="4"/>
      <c r="M8" s="1" t="s">
        <v>14</v>
      </c>
    </row>
    <row r="9" spans="1:17" x14ac:dyDescent="0.25">
      <c r="A9" s="1">
        <v>8</v>
      </c>
      <c r="B9" s="24" t="s">
        <v>17</v>
      </c>
      <c r="C9" s="1" t="s">
        <v>30</v>
      </c>
      <c r="D9" s="28">
        <f>50000+110000</f>
        <v>160000</v>
      </c>
      <c r="E9" s="28">
        <v>0</v>
      </c>
      <c r="F9" s="28">
        <f t="shared" si="8"/>
        <v>160000</v>
      </c>
      <c r="G9" s="28">
        <v>0</v>
      </c>
      <c r="H9" s="29">
        <v>0</v>
      </c>
      <c r="I9" s="28">
        <f t="shared" si="9"/>
        <v>0</v>
      </c>
      <c r="J9" s="4">
        <v>46010</v>
      </c>
      <c r="K9" s="4">
        <v>46016</v>
      </c>
      <c r="L9" s="4"/>
      <c r="M9" s="1" t="s">
        <v>14</v>
      </c>
    </row>
    <row r="10" spans="1:17" x14ac:dyDescent="0.25">
      <c r="A10" s="1">
        <v>9</v>
      </c>
      <c r="B10" s="24" t="s">
        <v>39</v>
      </c>
      <c r="C10" s="1" t="s">
        <v>30</v>
      </c>
      <c r="D10" s="28">
        <v>100000</v>
      </c>
      <c r="E10" s="28">
        <v>0</v>
      </c>
      <c r="F10" s="28">
        <f t="shared" ref="F10" si="10">(D10+I10)-E10</f>
        <v>100000</v>
      </c>
      <c r="G10" s="28">
        <v>0</v>
      </c>
      <c r="H10" s="29">
        <v>0</v>
      </c>
      <c r="I10" s="28">
        <f t="shared" ref="I10" si="11">D10*H10</f>
        <v>0</v>
      </c>
      <c r="J10" s="4">
        <v>46011</v>
      </c>
      <c r="K10" s="4">
        <v>46017</v>
      </c>
      <c r="L10" s="4"/>
      <c r="M10" s="1" t="s">
        <v>14</v>
      </c>
    </row>
    <row r="11" spans="1:17" x14ac:dyDescent="0.25">
      <c r="A11" s="1">
        <v>10</v>
      </c>
      <c r="B11" s="24" t="s">
        <v>44</v>
      </c>
      <c r="C11" s="1" t="s">
        <v>53</v>
      </c>
      <c r="D11" s="28">
        <v>50000</v>
      </c>
      <c r="E11" s="28">
        <v>0</v>
      </c>
      <c r="F11" s="28">
        <f t="shared" ref="F11" si="12">(D11+I11)-E11</f>
        <v>50000</v>
      </c>
      <c r="G11" s="28">
        <v>0</v>
      </c>
      <c r="H11" s="29">
        <v>0</v>
      </c>
      <c r="I11" s="28">
        <f t="shared" ref="I11" si="13">D11*H11</f>
        <v>0</v>
      </c>
      <c r="J11" s="4">
        <v>46013</v>
      </c>
      <c r="K11" s="4">
        <v>46019</v>
      </c>
      <c r="L11" s="4"/>
      <c r="M11" s="1" t="s">
        <v>14</v>
      </c>
    </row>
    <row r="12" spans="1:17" x14ac:dyDescent="0.25">
      <c r="A12" s="1">
        <v>11</v>
      </c>
      <c r="B12" s="24" t="s">
        <v>26</v>
      </c>
      <c r="C12" s="1" t="s">
        <v>43</v>
      </c>
      <c r="D12" s="28">
        <v>50000</v>
      </c>
      <c r="E12" s="28">
        <v>0</v>
      </c>
      <c r="F12" s="28">
        <f t="shared" ref="F12" si="14">(D12+I12)-E12</f>
        <v>50000</v>
      </c>
      <c r="G12" s="28">
        <v>0</v>
      </c>
      <c r="H12" s="29">
        <v>0</v>
      </c>
      <c r="I12" s="28">
        <f t="shared" ref="I12" si="15">D12*H12</f>
        <v>0</v>
      </c>
      <c r="J12" s="4">
        <v>46014</v>
      </c>
      <c r="K12" s="4">
        <v>46020</v>
      </c>
      <c r="L12" s="4"/>
      <c r="M12" s="1" t="s">
        <v>14</v>
      </c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4"/>
      <c r="M13" s="1"/>
    </row>
    <row r="14" spans="1:17" x14ac:dyDescent="0.25">
      <c r="A14" s="1">
        <v>13</v>
      </c>
      <c r="B14" s="24"/>
      <c r="C14" s="1"/>
      <c r="D14" s="28"/>
      <c r="E14" s="28"/>
      <c r="F14" s="28"/>
      <c r="G14" s="28"/>
      <c r="H14" s="29"/>
      <c r="I14" s="28"/>
      <c r="J14" s="4"/>
      <c r="K14" s="4"/>
      <c r="L14" s="4"/>
      <c r="M14" s="1"/>
    </row>
    <row r="15" spans="1:17" x14ac:dyDescent="0.25">
      <c r="A15" s="1">
        <v>14</v>
      </c>
      <c r="B15" s="24"/>
      <c r="C15" s="1"/>
      <c r="D15" s="28"/>
      <c r="E15" s="28"/>
      <c r="F15" s="28"/>
      <c r="G15" s="28"/>
      <c r="H15" s="29"/>
      <c r="I15" s="28"/>
      <c r="J15" s="4"/>
      <c r="K15" s="4"/>
      <c r="L15" s="4"/>
      <c r="M15" s="1"/>
    </row>
    <row r="16" spans="1:17" x14ac:dyDescent="0.25">
      <c r="A16" s="1">
        <v>15</v>
      </c>
      <c r="B16" s="24"/>
      <c r="C16" s="1"/>
      <c r="D16" s="37"/>
      <c r="E16" s="37"/>
      <c r="F16" s="37"/>
      <c r="G16" s="37"/>
      <c r="H16" s="24"/>
      <c r="I16" s="37"/>
      <c r="J16" s="24"/>
      <c r="K16" s="38"/>
      <c r="L16" s="38"/>
      <c r="M16" s="24"/>
    </row>
    <row r="17" spans="2:13" ht="24" x14ac:dyDescent="0.25">
      <c r="B17" s="34" t="s">
        <v>33</v>
      </c>
      <c r="C17" s="34"/>
      <c r="D17" s="45" t="s">
        <v>34</v>
      </c>
      <c r="E17" s="45"/>
      <c r="F17" s="45"/>
      <c r="G17" s="45"/>
    </row>
    <row r="18" spans="2:13" x14ac:dyDescent="0.25">
      <c r="D18" s="44" t="s">
        <v>28</v>
      </c>
      <c r="E18" s="44"/>
      <c r="F18" s="35">
        <f>SUM(D2:D16)</f>
        <v>1130000</v>
      </c>
      <c r="G18" s="36"/>
      <c r="J18" s="36"/>
    </row>
    <row r="19" spans="2:13" x14ac:dyDescent="0.25">
      <c r="D19" s="44" t="s">
        <v>29</v>
      </c>
      <c r="E19" s="44"/>
      <c r="F19" s="35">
        <f>SUM(E2:E16)</f>
        <v>253000</v>
      </c>
      <c r="G19" s="36"/>
      <c r="M19" s="25" t="s">
        <v>41</v>
      </c>
    </row>
    <row r="20" spans="2:13" x14ac:dyDescent="0.25">
      <c r="D20" s="44" t="s">
        <v>27</v>
      </c>
      <c r="E20" s="44"/>
      <c r="F20" s="35">
        <f>-SUM(F2:F16)</f>
        <v>-947000</v>
      </c>
      <c r="G20" s="36"/>
    </row>
    <row r="22" spans="2:13" x14ac:dyDescent="0.25">
      <c r="F22" s="36"/>
      <c r="G22" s="36"/>
    </row>
    <row r="23" spans="2:13" x14ac:dyDescent="0.25">
      <c r="F23" s="36"/>
      <c r="G23" s="36"/>
    </row>
    <row r="24" spans="2:13" x14ac:dyDescent="0.25">
      <c r="F24" s="36"/>
      <c r="G24" s="36"/>
    </row>
    <row r="25" spans="2:13" x14ac:dyDescent="0.25">
      <c r="F25" s="36"/>
    </row>
    <row r="26" spans="2:13" x14ac:dyDescent="0.25">
      <c r="F26" s="36"/>
    </row>
  </sheetData>
  <autoFilter ref="A1:M20" xr:uid="{B426C2E0-1FB2-4505-A56E-E149D9D304FF}"/>
  <mergeCells count="4">
    <mergeCell ref="D18:E18"/>
    <mergeCell ref="D19:E19"/>
    <mergeCell ref="D20:E20"/>
    <mergeCell ref="D17:G17"/>
  </mergeCells>
  <phoneticPr fontId="1" type="noConversion"/>
  <hyperlinks>
    <hyperlink ref="D1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29"/>
  <sheetViews>
    <sheetView topLeftCell="A87" workbookViewId="0">
      <selection activeCell="H5" sqref="H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25</v>
      </c>
      <c r="C93" s="20">
        <v>50000</v>
      </c>
      <c r="D93" s="22" t="s">
        <v>50</v>
      </c>
    </row>
    <row r="94" spans="1:4" ht="18.75" x14ac:dyDescent="0.25">
      <c r="A94" s="21">
        <v>46011</v>
      </c>
      <c r="B94" s="19" t="s">
        <v>39</v>
      </c>
      <c r="C94" s="20">
        <v>100000</v>
      </c>
      <c r="D94" s="22" t="s">
        <v>30</v>
      </c>
    </row>
    <row r="95" spans="1:4" ht="18.75" x14ac:dyDescent="0.25">
      <c r="A95" s="21">
        <v>46011</v>
      </c>
      <c r="B95" s="19" t="s">
        <v>26</v>
      </c>
      <c r="C95" s="20">
        <v>100000</v>
      </c>
      <c r="D95" s="22" t="s">
        <v>51</v>
      </c>
    </row>
    <row r="96" spans="1:4" ht="18.75" x14ac:dyDescent="0.25">
      <c r="A96" s="21">
        <v>46011</v>
      </c>
      <c r="B96" s="19" t="s">
        <v>26</v>
      </c>
      <c r="C96" s="20">
        <v>50000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100000</v>
      </c>
      <c r="D97" s="22" t="s">
        <v>30</v>
      </c>
    </row>
    <row r="98" spans="1:4" ht="18.75" x14ac:dyDescent="0.25">
      <c r="A98" s="21">
        <v>46013</v>
      </c>
      <c r="B98" s="19" t="s">
        <v>44</v>
      </c>
      <c r="C98" s="20">
        <v>50000</v>
      </c>
      <c r="D98" s="22" t="s">
        <v>53</v>
      </c>
    </row>
    <row r="99" spans="1:4" ht="18.75" x14ac:dyDescent="0.25">
      <c r="A99" s="21">
        <v>46014</v>
      </c>
      <c r="B99" s="19" t="s">
        <v>26</v>
      </c>
      <c r="C99" s="20">
        <v>50000</v>
      </c>
      <c r="D99" s="22" t="s">
        <v>43</v>
      </c>
    </row>
    <row r="100" spans="1:4" ht="18.75" x14ac:dyDescent="0.25">
      <c r="A100" s="21"/>
      <c r="B100" s="19"/>
      <c r="C100" s="20"/>
      <c r="D100" s="22"/>
    </row>
    <row r="101" spans="1:4" ht="18.75" x14ac:dyDescent="0.25">
      <c r="A101" s="21"/>
      <c r="B101" s="19"/>
      <c r="C101" s="20"/>
      <c r="D101" s="22"/>
    </row>
    <row r="102" spans="1:4" ht="18.75" x14ac:dyDescent="0.25">
      <c r="A102" s="21"/>
      <c r="B102" s="19"/>
      <c r="C102" s="20"/>
      <c r="D102" s="22"/>
    </row>
    <row r="103" spans="1:4" ht="18.75" x14ac:dyDescent="0.25">
      <c r="A103" s="21"/>
      <c r="B103" s="19"/>
      <c r="C103" s="20"/>
      <c r="D103" s="22"/>
    </row>
    <row r="104" spans="1:4" ht="18.75" x14ac:dyDescent="0.25">
      <c r="A104" s="21"/>
      <c r="B104" s="19"/>
      <c r="C104" s="20"/>
      <c r="D104" s="22"/>
    </row>
    <row r="105" spans="1:4" ht="18.75" x14ac:dyDescent="0.25">
      <c r="A105" s="21"/>
      <c r="B105" s="19"/>
      <c r="C105" s="20"/>
      <c r="D105" s="22"/>
    </row>
    <row r="106" spans="1:4" ht="18.75" x14ac:dyDescent="0.25">
      <c r="A106" s="21"/>
      <c r="B106" s="19"/>
      <c r="C106" s="20"/>
      <c r="D106" s="22"/>
    </row>
    <row r="107" spans="1:4" ht="18.75" x14ac:dyDescent="0.25">
      <c r="A107" s="21"/>
      <c r="B107" s="19"/>
      <c r="C107" s="20"/>
      <c r="D107" s="22"/>
    </row>
    <row r="108" spans="1:4" ht="18.75" x14ac:dyDescent="0.25">
      <c r="A108" s="21"/>
      <c r="B108" s="19"/>
      <c r="C108" s="20"/>
      <c r="D108" s="22"/>
    </row>
    <row r="109" spans="1:4" ht="18.75" x14ac:dyDescent="0.25">
      <c r="A109" s="21"/>
      <c r="B109" s="19"/>
      <c r="C109" s="20"/>
      <c r="D109" s="22"/>
    </row>
    <row r="110" spans="1:4" ht="18.75" x14ac:dyDescent="0.25">
      <c r="A110" s="21"/>
      <c r="B110" s="19"/>
      <c r="C110" s="20"/>
      <c r="D110" s="22"/>
    </row>
    <row r="111" spans="1:4" ht="18.75" x14ac:dyDescent="0.25">
      <c r="A111" s="21"/>
      <c r="B111" s="19"/>
      <c r="C111" s="20"/>
      <c r="D111" s="22"/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</sheetData>
  <autoFilter ref="A1:D99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2025-12-23T15:18:22Z</dcterms:modified>
</cp:coreProperties>
</file>