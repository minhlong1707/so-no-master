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2F944CF4-FE79-4082-9C29-569895E77D79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3" l="1"/>
  <c r="F15" i="3"/>
  <c r="E5" i="3"/>
  <c r="E6" i="3"/>
  <c r="E7" i="3"/>
  <c r="I14" i="3"/>
  <c r="F14" i="3" s="1"/>
  <c r="E8" i="3"/>
  <c r="D10" i="3"/>
  <c r="I10" i="3" s="1"/>
  <c r="F10" i="3" s="1"/>
  <c r="I13" i="3"/>
  <c r="F13" i="3" s="1"/>
  <c r="I11" i="3"/>
  <c r="F11" i="3" s="1"/>
  <c r="I12" i="3"/>
  <c r="F12" i="3" s="1"/>
  <c r="I9" i="3"/>
  <c r="F9" i="3" s="1"/>
  <c r="U43" i="4"/>
  <c r="T43" i="4"/>
  <c r="R26" i="4"/>
  <c r="R25" i="4"/>
  <c r="R19" i="4"/>
  <c r="R8" i="4"/>
  <c r="G20" i="4"/>
  <c r="G43" i="4" s="1"/>
  <c r="F10" i="4"/>
  <c r="E16" i="4"/>
  <c r="E3" i="3"/>
  <c r="D7" i="3"/>
  <c r="I7" i="3" s="1"/>
  <c r="C43" i="4"/>
  <c r="I8" i="3"/>
  <c r="I6" i="3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6" i="3" l="1"/>
  <c r="F7" i="3"/>
  <c r="F8" i="3"/>
  <c r="F20" i="3"/>
  <c r="R43" i="4"/>
  <c r="F5" i="3"/>
  <c r="F3" i="3"/>
  <c r="F21" i="3"/>
  <c r="F22" i="3" l="1"/>
</calcChain>
</file>

<file path=xl/sharedStrings.xml><?xml version="1.0" encoding="utf-8"?>
<sst xmlns="http://schemas.openxmlformats.org/spreadsheetml/2006/main" count="196" uniqueCount="57">
  <si>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</si>
  <si>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</si>
  <si>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</si>
  <si>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</si>
  <si>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</si>
  <si>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</si>
  <si>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</si>
  <si>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</si>
  <si>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</si>
  <si>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</si>
  <si>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</si>
  <si>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</si>
  <si>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</si>
  <si>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</si>
  <si>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</si>
  <si>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</si>
  <si>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</si>
  <si>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</si>
  <si>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</si>
  <si>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</si>
  <si>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</si>
  <si>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</si>
  <si>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</si>
  <si>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</si>
  <si>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</si>
  <si>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</si>
  <si>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</si>
  <si>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</si>
  <si>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</si>
  <si>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</si>
  <si>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</si>
  <si>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</si>
  <si>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</si>
  <si>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</si>
  <si>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</si>
  <si>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</si>
  <si>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</si>
  <si>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</si>
  <si>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</si>
  <si>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</si>
  <si>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</si>
  <si>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</si>
  <si>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</si>
  <si>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</si>
  <si>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</si>
  <si>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</si>
  <si>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</si>
  <si>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</si>
  <si>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</si>
  <si>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</si>
  <si>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5 ngày</t>
  </si>
  <si>
    <t>Đã trả đủ</t>
  </si>
  <si>
    <t>Nạp Robux</t>
  </si>
  <si>
    <t>4 ngày</t>
  </si>
  <si>
    <t>3 ngày</t>
  </si>
  <si>
    <t>Nạp điện thoại</t>
  </si>
  <si>
    <t>7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</si>
</sst>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8"/>
  <sheetViews>
    <sheetView tabSelected="1" zoomScale="80" zoomScaleNormal="80" workbookViewId="0">
      <selection activeCell="O12" sqref="O12"/>
    </sheetView>
  </sheetViews>
  <sheetFormatPr defaultRowHeight="15" x14ac:dyDescent="0.25"/>
  <cols>
    <col min="1" max="1" width="3.5703125" style="26" customWidth="1"/>
    <col min="2" max="2" width="31.140625" style="26" bestFit="1" customWidth="1"/>
    <col min="3" max="3" width="14" style="26" bestFit="1" customWidth="1"/>
    <col min="4" max="5" width="12.140625" style="26" customWidth="1"/>
    <col min="6" max="6" width="12.7109375" style="26" bestFit="1" customWidth="1"/>
    <col min="7" max="7" width="12.140625" style="26" customWidth="1"/>
    <col min="8" max="8" width="13.5703125" style="26" customWidth="1"/>
    <col min="9" max="9" width="18.42578125" style="26" customWidth="1"/>
    <col min="10" max="11" width="12.140625" style="26" customWidth="1"/>
    <col min="12" max="12" width="11.7109375" style="26" customWidth="1"/>
    <col min="13" max="13" width="15.7109375" style="26" customWidth="1"/>
    <col min="14" max="14" width="9.5703125" style="26" customWidth="1"/>
    <col min="15" max="15" width="9.140625" style="26"/>
    <col min="16" max="16" width="10.5703125" style="26" bestFit="1" customWidth="1"/>
    <col min="17" max="16384" width="9.140625" style="26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4" t="s">
        <v>18</v>
      </c>
      <c r="C2" s="1" t="s">
        <v>16</v>
      </c>
      <c r="D2" s="29">
        <v>350000</v>
      </c>
      <c r="E2" s="29">
        <v>0</v>
      </c>
      <c r="F2" s="29">
        <f>(D2+I2)-E2</f>
        <v>402500</v>
      </c>
      <c r="G2" s="29">
        <v>0</v>
      </c>
      <c r="H2" s="30">
        <v>0.15</v>
      </c>
      <c r="I2" s="29">
        <f>(D2*H2)</f>
        <v>52500</v>
      </c>
      <c r="J2" s="4">
        <v>45984</v>
      </c>
      <c r="K2" s="4">
        <v>46011</v>
      </c>
      <c r="L2" s="1" t="s">
        <v>53</v>
      </c>
      <c r="M2" s="1" t="s">
        <v>14</v>
      </c>
      <c r="Q2" s="6"/>
    </row>
    <row r="3" spans="1:17" x14ac:dyDescent="0.25">
      <c r="A3" s="1">
        <v>2</v>
      </c>
      <c r="B3" s="27" t="s">
        <v>23</v>
      </c>
      <c r="C3" s="7" t="s">
        <v>24</v>
      </c>
      <c r="D3" s="31">
        <v>20000</v>
      </c>
      <c r="E3" s="31">
        <f>10000</f>
        <v>10000</v>
      </c>
      <c r="F3" s="31">
        <f t="shared" ref="F3" si="0">(D3+I3)-E3</f>
        <v>10000</v>
      </c>
      <c r="G3" s="31">
        <v>0</v>
      </c>
      <c r="H3" s="32">
        <v>0</v>
      </c>
      <c r="I3" s="31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27" t="s">
        <v>17</v>
      </c>
      <c r="C4" s="7" t="s">
        <v>30</v>
      </c>
      <c r="D4" s="31">
        <v>30000</v>
      </c>
      <c r="E4" s="31">
        <v>0</v>
      </c>
      <c r="F4" s="31">
        <f>(D4+I4)-E4</f>
        <v>30000</v>
      </c>
      <c r="G4" s="31">
        <v>0</v>
      </c>
      <c r="H4" s="32">
        <v>0</v>
      </c>
      <c r="I4" s="31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9" t="s">
        <v>8</v>
      </c>
      <c r="C5" s="40" t="s">
        <v>3</v>
      </c>
      <c r="D5" s="41">
        <v>120000</v>
      </c>
      <c r="E5" s="41">
        <f>50000-16000+50000+7000+29000</f>
        <v>120000</v>
      </c>
      <c r="F5" s="41">
        <f t="shared" ref="F5" si="2">(D5+I5)-E5</f>
        <v>0</v>
      </c>
      <c r="G5" s="41">
        <v>0</v>
      </c>
      <c r="H5" s="42">
        <v>0</v>
      </c>
      <c r="I5" s="41">
        <f t="shared" ref="I5" si="3">D5*H5</f>
        <v>0</v>
      </c>
      <c r="J5" s="43">
        <v>45999</v>
      </c>
      <c r="K5" s="43">
        <v>46008</v>
      </c>
      <c r="L5" s="40"/>
      <c r="M5" s="40" t="s">
        <v>51</v>
      </c>
    </row>
    <row r="6" spans="1:17" x14ac:dyDescent="0.25">
      <c r="A6" s="1">
        <v>5</v>
      </c>
      <c r="B6" s="28" t="s">
        <v>8</v>
      </c>
      <c r="C6" s="15" t="s">
        <v>3</v>
      </c>
      <c r="D6" s="33">
        <v>100000</v>
      </c>
      <c r="E6" s="33">
        <f>50000-29000</f>
        <v>21000</v>
      </c>
      <c r="F6" s="33">
        <f t="shared" ref="F6" si="4">(D6+I6)-E6</f>
        <v>79000</v>
      </c>
      <c r="G6" s="33">
        <v>0</v>
      </c>
      <c r="H6" s="34">
        <v>0</v>
      </c>
      <c r="I6" s="33">
        <f t="shared" ref="I6" si="5">D6*H6</f>
        <v>0</v>
      </c>
      <c r="J6" s="16">
        <v>46001</v>
      </c>
      <c r="K6" s="16">
        <v>46010</v>
      </c>
      <c r="L6" s="15" t="s">
        <v>54</v>
      </c>
      <c r="M6" s="15" t="s">
        <v>14</v>
      </c>
    </row>
    <row r="7" spans="1:17" x14ac:dyDescent="0.25">
      <c r="A7" s="1">
        <v>6</v>
      </c>
      <c r="B7" s="28" t="s">
        <v>20</v>
      </c>
      <c r="C7" s="15" t="s">
        <v>3</v>
      </c>
      <c r="D7" s="33">
        <f>100000+50000</f>
        <v>150000</v>
      </c>
      <c r="E7" s="33">
        <f>10000+5000+23000</f>
        <v>38000</v>
      </c>
      <c r="F7" s="33">
        <f t="shared" ref="F7:F8" si="6">(D7+I7)-E7</f>
        <v>112000</v>
      </c>
      <c r="G7" s="33">
        <v>0</v>
      </c>
      <c r="H7" s="34">
        <v>0</v>
      </c>
      <c r="I7" s="33">
        <f t="shared" ref="I7:I8" si="7">D7*H7</f>
        <v>0</v>
      </c>
      <c r="J7" s="16">
        <v>46001</v>
      </c>
      <c r="K7" s="16">
        <v>46010</v>
      </c>
      <c r="L7" s="15" t="s">
        <v>54</v>
      </c>
      <c r="M7" s="15" t="s">
        <v>14</v>
      </c>
    </row>
    <row r="8" spans="1:17" x14ac:dyDescent="0.25">
      <c r="A8" s="1">
        <v>7</v>
      </c>
      <c r="B8" s="28" t="s">
        <v>43</v>
      </c>
      <c r="C8" s="15" t="s">
        <v>3</v>
      </c>
      <c r="D8" s="33">
        <v>50000</v>
      </c>
      <c r="E8" s="33">
        <f>30000</f>
        <v>30000</v>
      </c>
      <c r="F8" s="33">
        <f t="shared" si="6"/>
        <v>20000</v>
      </c>
      <c r="G8" s="33">
        <v>0</v>
      </c>
      <c r="H8" s="34">
        <v>0</v>
      </c>
      <c r="I8" s="33">
        <f t="shared" si="7"/>
        <v>0</v>
      </c>
      <c r="J8" s="16">
        <v>46001</v>
      </c>
      <c r="K8" s="16">
        <v>46010</v>
      </c>
      <c r="L8" s="15" t="s">
        <v>54</v>
      </c>
      <c r="M8" s="15" t="s">
        <v>14</v>
      </c>
    </row>
    <row r="9" spans="1:17" x14ac:dyDescent="0.25">
      <c r="A9" s="1">
        <v>9</v>
      </c>
      <c r="B9" s="39" t="s">
        <v>26</v>
      </c>
      <c r="C9" s="40" t="s">
        <v>40</v>
      </c>
      <c r="D9" s="41">
        <v>5000</v>
      </c>
      <c r="E9" s="41">
        <v>5000</v>
      </c>
      <c r="F9" s="41">
        <f t="shared" ref="F9" si="8">(D9+I9)-E9</f>
        <v>0</v>
      </c>
      <c r="G9" s="41">
        <v>0</v>
      </c>
      <c r="H9" s="42">
        <v>0</v>
      </c>
      <c r="I9" s="41">
        <f t="shared" ref="I9" si="9">D9*H9</f>
        <v>0</v>
      </c>
      <c r="J9" s="43">
        <v>46005</v>
      </c>
      <c r="K9" s="43"/>
      <c r="L9" s="40"/>
      <c r="M9" s="40" t="s">
        <v>51</v>
      </c>
    </row>
    <row r="10" spans="1:17" x14ac:dyDescent="0.25">
      <c r="A10" s="1">
        <v>10</v>
      </c>
      <c r="B10" s="39" t="s">
        <v>26</v>
      </c>
      <c r="C10" s="40" t="s">
        <v>44</v>
      </c>
      <c r="D10" s="41">
        <f>70000+150000+20000+20000</f>
        <v>260000</v>
      </c>
      <c r="E10" s="41">
        <v>260000</v>
      </c>
      <c r="F10" s="41">
        <f t="shared" ref="F10" si="10">(D10+I10)-E10</f>
        <v>0</v>
      </c>
      <c r="G10" s="41">
        <v>0</v>
      </c>
      <c r="H10" s="42">
        <v>0</v>
      </c>
      <c r="I10" s="41">
        <f t="shared" ref="I10" si="11">D10*H10</f>
        <v>0</v>
      </c>
      <c r="J10" s="43">
        <v>46006</v>
      </c>
      <c r="K10" s="43">
        <v>46008</v>
      </c>
      <c r="L10" s="40"/>
      <c r="M10" s="40" t="s">
        <v>51</v>
      </c>
    </row>
    <row r="11" spans="1:17" x14ac:dyDescent="0.25">
      <c r="A11" s="1">
        <v>11</v>
      </c>
      <c r="B11" s="24" t="s">
        <v>8</v>
      </c>
      <c r="C11" s="1" t="s">
        <v>3</v>
      </c>
      <c r="D11" s="29">
        <v>20000</v>
      </c>
      <c r="E11" s="29">
        <v>0</v>
      </c>
      <c r="F11" s="29">
        <f t="shared" ref="F11:F12" si="12">(D11+I11)-E11</f>
        <v>20000</v>
      </c>
      <c r="G11" s="29">
        <v>0</v>
      </c>
      <c r="H11" s="30">
        <v>0</v>
      </c>
      <c r="I11" s="29">
        <f t="shared" ref="I11:I12" si="13">D11*H11</f>
        <v>0</v>
      </c>
      <c r="J11" s="4">
        <v>46006</v>
      </c>
      <c r="K11" s="4">
        <v>46012</v>
      </c>
      <c r="L11" s="1" t="s">
        <v>50</v>
      </c>
      <c r="M11" s="1" t="s">
        <v>14</v>
      </c>
    </row>
    <row r="12" spans="1:17" x14ac:dyDescent="0.25">
      <c r="A12" s="1">
        <v>12</v>
      </c>
      <c r="B12" s="39" t="s">
        <v>37</v>
      </c>
      <c r="C12" s="40" t="s">
        <v>30</v>
      </c>
      <c r="D12" s="41">
        <v>10000</v>
      </c>
      <c r="E12" s="41">
        <v>10000</v>
      </c>
      <c r="F12" s="41">
        <f t="shared" si="12"/>
        <v>0</v>
      </c>
      <c r="G12" s="41">
        <v>0</v>
      </c>
      <c r="H12" s="42">
        <v>0</v>
      </c>
      <c r="I12" s="41">
        <f t="shared" si="13"/>
        <v>0</v>
      </c>
      <c r="J12" s="43">
        <v>46006</v>
      </c>
      <c r="K12" s="43">
        <v>46008</v>
      </c>
      <c r="L12" s="40"/>
      <c r="M12" s="40" t="s">
        <v>51</v>
      </c>
    </row>
    <row r="13" spans="1:17" x14ac:dyDescent="0.25">
      <c r="A13" s="1">
        <v>13</v>
      </c>
      <c r="B13" s="39" t="s">
        <v>39</v>
      </c>
      <c r="C13" s="40" t="s">
        <v>30</v>
      </c>
      <c r="D13" s="41">
        <v>60000</v>
      </c>
      <c r="E13" s="41">
        <v>60000</v>
      </c>
      <c r="F13" s="41">
        <f t="shared" ref="F13" si="14">(D13+I13)-E13</f>
        <v>0</v>
      </c>
      <c r="G13" s="41">
        <v>0</v>
      </c>
      <c r="H13" s="42">
        <v>0</v>
      </c>
      <c r="I13" s="41">
        <f t="shared" ref="I13" si="15">D13*H13</f>
        <v>0</v>
      </c>
      <c r="J13" s="43">
        <v>46006</v>
      </c>
      <c r="K13" s="43">
        <v>46008</v>
      </c>
      <c r="L13" s="40"/>
      <c r="M13" s="40" t="s">
        <v>51</v>
      </c>
    </row>
    <row r="14" spans="1:17" x14ac:dyDescent="0.25">
      <c r="A14" s="1">
        <v>14</v>
      </c>
      <c r="B14" s="39" t="s">
        <v>26</v>
      </c>
      <c r="C14" s="40" t="s">
        <v>52</v>
      </c>
      <c r="D14" s="41">
        <v>20000</v>
      </c>
      <c r="E14" s="41">
        <v>20000</v>
      </c>
      <c r="F14" s="41">
        <f t="shared" ref="F14:F15" si="16">(D14+I14)-E14</f>
        <v>0</v>
      </c>
      <c r="G14" s="41">
        <v>0</v>
      </c>
      <c r="H14" s="42">
        <v>0</v>
      </c>
      <c r="I14" s="41">
        <f t="shared" ref="I14:I15" si="17">D14*H14</f>
        <v>0</v>
      </c>
      <c r="J14" s="43">
        <v>46007</v>
      </c>
      <c r="K14" s="43">
        <v>46008</v>
      </c>
      <c r="L14" s="40"/>
      <c r="M14" s="40" t="s">
        <v>51</v>
      </c>
    </row>
    <row r="15" spans="1:17" x14ac:dyDescent="0.25">
      <c r="A15" s="1">
        <v>15</v>
      </c>
      <c r="B15" s="24" t="s">
        <v>22</v>
      </c>
      <c r="C15" s="1" t="s">
        <v>55</v>
      </c>
      <c r="D15" s="29">
        <v>20000</v>
      </c>
      <c r="E15" s="29">
        <v>0</v>
      </c>
      <c r="F15" s="29">
        <f t="shared" si="16"/>
        <v>20000</v>
      </c>
      <c r="G15" s="29">
        <v>0</v>
      </c>
      <c r="H15" s="30">
        <v>0</v>
      </c>
      <c r="I15" s="29">
        <f t="shared" si="17"/>
        <v>0</v>
      </c>
      <c r="J15" s="4">
        <v>46008</v>
      </c>
      <c r="K15" s="4">
        <v>46014</v>
      </c>
      <c r="L15" s="1" t="s">
        <v>56</v>
      </c>
      <c r="M15" s="1" t="s">
        <v>14</v>
      </c>
    </row>
    <row r="16" spans="1:17" x14ac:dyDescent="0.25">
      <c r="A16" s="1">
        <v>16</v>
      </c>
      <c r="B16" s="24"/>
      <c r="C16" s="1"/>
      <c r="D16" s="29"/>
      <c r="E16" s="29"/>
      <c r="F16" s="29"/>
      <c r="G16" s="29"/>
      <c r="H16" s="30"/>
      <c r="I16" s="29"/>
      <c r="J16" s="4"/>
      <c r="K16" s="4"/>
      <c r="L16" s="1"/>
      <c r="M16" s="1"/>
    </row>
    <row r="17" spans="1:13" x14ac:dyDescent="0.25">
      <c r="A17" s="1">
        <v>17</v>
      </c>
      <c r="B17" s="24"/>
      <c r="C17" s="1"/>
      <c r="D17" s="29"/>
      <c r="E17" s="29"/>
      <c r="F17" s="29"/>
      <c r="G17" s="29"/>
      <c r="H17" s="30"/>
      <c r="I17" s="29"/>
      <c r="J17" s="4"/>
      <c r="K17" s="4"/>
      <c r="L17" s="1"/>
      <c r="M17" s="1"/>
    </row>
    <row r="18" spans="1:13" x14ac:dyDescent="0.25">
      <c r="A18" s="1">
        <v>18</v>
      </c>
      <c r="B18" s="24"/>
      <c r="C18" s="1"/>
      <c r="D18" s="35"/>
      <c r="E18" s="35"/>
      <c r="F18" s="35"/>
      <c r="G18" s="35"/>
      <c r="H18" s="24"/>
      <c r="I18" s="35"/>
      <c r="J18" s="24"/>
      <c r="K18" s="25"/>
      <c r="L18" s="24"/>
      <c r="M18" s="24"/>
    </row>
    <row r="19" spans="1:13" ht="24" x14ac:dyDescent="0.25">
      <c r="B19" s="36" t="s">
        <v>33</v>
      </c>
      <c r="C19" s="36"/>
      <c r="D19" s="45" t="s">
        <v>34</v>
      </c>
      <c r="E19" s="45"/>
      <c r="F19" s="45"/>
      <c r="G19" s="45"/>
    </row>
    <row r="20" spans="1:13" x14ac:dyDescent="0.25">
      <c r="D20" s="44" t="s">
        <v>28</v>
      </c>
      <c r="E20" s="44"/>
      <c r="F20" s="37">
        <f>SUM(D2:D18)</f>
        <v>1215000</v>
      </c>
      <c r="G20" s="38"/>
      <c r="J20" s="38"/>
    </row>
    <row r="21" spans="1:13" x14ac:dyDescent="0.25">
      <c r="D21" s="44" t="s">
        <v>29</v>
      </c>
      <c r="E21" s="44"/>
      <c r="F21" s="37">
        <f>SUM(E2:E18)</f>
        <v>574000</v>
      </c>
      <c r="G21" s="38"/>
      <c r="M21" s="26" t="s">
        <v>42</v>
      </c>
    </row>
    <row r="22" spans="1:13" x14ac:dyDescent="0.25">
      <c r="D22" s="44" t="s">
        <v>27</v>
      </c>
      <c r="E22" s="44"/>
      <c r="F22" s="37">
        <f>-SUM(F2:F18)</f>
        <v>-693500</v>
      </c>
      <c r="G22" s="38"/>
    </row>
    <row r="24" spans="1:13" x14ac:dyDescent="0.25">
      <c r="F24" s="38"/>
      <c r="G24" s="38"/>
    </row>
    <row r="25" spans="1:13" x14ac:dyDescent="0.25">
      <c r="F25" s="38"/>
      <c r="G25" s="38"/>
    </row>
    <row r="26" spans="1:13" x14ac:dyDescent="0.25">
      <c r="F26" s="38"/>
      <c r="G26" s="38"/>
    </row>
    <row r="27" spans="1:13" x14ac:dyDescent="0.25">
      <c r="F27" s="38"/>
    </row>
    <row r="28" spans="1:13" x14ac:dyDescent="0.25">
      <c r="F28" s="38"/>
    </row>
  </sheetData>
  <mergeCells count="4">
    <mergeCell ref="D20:E20"/>
    <mergeCell ref="D21:E21"/>
    <mergeCell ref="D22:E22"/>
    <mergeCell ref="D19:G19"/>
  </mergeCells>
  <phoneticPr fontId="1" type="noConversion"/>
  <hyperlinks>
    <hyperlink ref="D19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99"/>
  <sheetViews>
    <sheetView topLeftCell="A71" workbookViewId="0">
      <selection activeCell="F82" sqref="F82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47</v>
      </c>
      <c r="B1" s="18" t="s">
        <v>1</v>
      </c>
      <c r="C1" s="18" t="s">
        <v>48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49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41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49</v>
      </c>
      <c r="C49" s="20">
        <v>100000</v>
      </c>
      <c r="D49" s="22"/>
    </row>
    <row r="50" spans="1:4" ht="18.75" x14ac:dyDescent="0.25">
      <c r="A50" s="21">
        <v>45999</v>
      </c>
      <c r="B50" s="19" t="s">
        <v>41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43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49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45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41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44</v>
      </c>
    </row>
    <row r="72" spans="1:4" ht="18.75" x14ac:dyDescent="0.25">
      <c r="A72" s="21">
        <v>46005</v>
      </c>
      <c r="B72" s="19" t="s">
        <v>46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44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44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55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/>
      <c r="B84" s="19"/>
      <c r="C84" s="20"/>
      <c r="D84" s="22"/>
    </row>
    <row r="85" spans="1:4" ht="18.75" x14ac:dyDescent="0.25">
      <c r="A85" s="21"/>
      <c r="B85" s="19"/>
      <c r="C85" s="20"/>
      <c r="D85" s="22"/>
    </row>
    <row r="86" spans="1:4" ht="18.75" x14ac:dyDescent="0.25">
      <c r="A86" s="21"/>
      <c r="B86" s="19"/>
      <c r="C86" s="20"/>
      <c r="D86" s="22"/>
    </row>
    <row r="87" spans="1:4" ht="18.75" x14ac:dyDescent="0.25">
      <c r="A87" s="21"/>
      <c r="B87" s="19"/>
      <c r="C87" s="20"/>
      <c r="D87" s="22"/>
    </row>
    <row r="88" spans="1:4" ht="18.75" x14ac:dyDescent="0.25">
      <c r="A88" s="21"/>
      <c r="B88" s="19"/>
      <c r="C88" s="20"/>
      <c r="D88" s="22"/>
    </row>
    <row r="89" spans="1:4" ht="18.75" x14ac:dyDescent="0.25">
      <c r="A89" s="21"/>
      <c r="B89" s="19"/>
      <c r="C89" s="20"/>
      <c r="D89" s="22"/>
    </row>
    <row r="90" spans="1:4" ht="18.75" x14ac:dyDescent="0.25">
      <c r="A90" s="21"/>
      <c r="B90" s="19"/>
      <c r="C90" s="20"/>
      <c r="D90" s="22"/>
    </row>
    <row r="91" spans="1:4" ht="18.75" x14ac:dyDescent="0.25">
      <c r="A91" s="21"/>
      <c r="B91" s="19"/>
      <c r="C91" s="20"/>
      <c r="D91" s="22"/>
    </row>
    <row r="92" spans="1:4" ht="18.75" x14ac:dyDescent="0.25">
      <c r="A92" s="21"/>
      <c r="B92" s="19"/>
      <c r="C92" s="20"/>
      <c r="D92" s="22"/>
    </row>
    <row r="93" spans="1:4" ht="18.75" x14ac:dyDescent="0.25">
      <c r="A93" s="21"/>
      <c r="B93" s="19"/>
      <c r="C93" s="20"/>
      <c r="D93" s="22"/>
    </row>
    <row r="94" spans="1:4" ht="18.75" x14ac:dyDescent="0.25">
      <c r="A94" s="21"/>
      <c r="B94" s="19"/>
      <c r="C94" s="20"/>
      <c r="D94" s="22"/>
    </row>
    <row r="95" spans="1:4" ht="18.75" x14ac:dyDescent="0.25">
      <c r="A95" s="21"/>
      <c r="B95" s="19"/>
      <c r="C95" s="20"/>
      <c r="D95" s="22"/>
    </row>
    <row r="96" spans="1:4" ht="18.75" x14ac:dyDescent="0.25">
      <c r="A96" s="21"/>
      <c r="B96" s="19"/>
      <c r="C96" s="20"/>
      <c r="D96" s="22"/>
    </row>
    <row r="97" spans="1:4" ht="18.75" x14ac:dyDescent="0.25">
      <c r="A97" s="21"/>
      <c r="B97" s="19"/>
      <c r="C97" s="20"/>
      <c r="D97" s="22"/>
    </row>
    <row r="98" spans="1:4" ht="18.75" x14ac:dyDescent="0.25">
      <c r="A98" s="21"/>
      <c r="B98" s="19"/>
      <c r="C98" s="20"/>
      <c r="D98" s="22"/>
    </row>
    <row r="99" spans="1:4" ht="18.75" x14ac:dyDescent="0.25">
      <c r="A99" s="21"/>
      <c r="B99" s="19"/>
      <c r="C99" s="20"/>
      <c r="D9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43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45</v>
      </c>
      <c r="U1" s="17" t="s">
        <v>46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2025-12-17T13:57:15Z</dcterms:modified>
</cp:coreProperties>
</file>