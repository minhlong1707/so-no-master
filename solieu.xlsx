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EEEBDAFE-981E-43BE-BC81-0B62E7A7FD4D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NỢ'!$A$1:$M$37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3" l="1"/>
  <c r="F24" i="3" s="1"/>
  <c r="I22" i="3"/>
  <c r="F22" i="3" s="1"/>
  <c r="I23" i="3"/>
  <c r="F23" i="3" s="1"/>
  <c r="I20" i="3"/>
  <c r="F20" i="3" s="1"/>
  <c r="I21" i="3"/>
  <c r="F21" i="3" s="1"/>
  <c r="I19" i="3"/>
  <c r="F19" i="3" s="1"/>
  <c r="I18" i="3"/>
  <c r="F18" i="3" s="1"/>
  <c r="I17" i="3"/>
  <c r="F17" i="3" s="1"/>
  <c r="I16" i="3"/>
  <c r="F16" i="3" s="1"/>
  <c r="I15" i="3"/>
  <c r="F15" i="3" s="1"/>
  <c r="I14" i="3"/>
  <c r="F14" i="3" s="1"/>
  <c r="I13" i="3"/>
  <c r="F13" i="3" s="1"/>
  <c r="E8" i="3"/>
  <c r="I12" i="3"/>
  <c r="F12" i="3" s="1"/>
  <c r="I11" i="3"/>
  <c r="F11" i="3" s="1"/>
  <c r="E5" i="3"/>
  <c r="I10" i="3"/>
  <c r="F10" i="3" s="1"/>
  <c r="D9" i="3"/>
  <c r="I9" i="3" s="1"/>
  <c r="F9" i="3" s="1"/>
  <c r="D3" i="3"/>
  <c r="I3" i="3" s="1"/>
  <c r="I8" i="3"/>
  <c r="I7" i="3"/>
  <c r="F7" i="3" s="1"/>
  <c r="I6" i="3"/>
  <c r="F6" i="3" s="1"/>
  <c r="I5" i="3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I4" i="3"/>
  <c r="F4" i="3" s="1"/>
  <c r="H43" i="4"/>
  <c r="I43" i="4"/>
  <c r="L43" i="4"/>
  <c r="M43" i="4"/>
  <c r="N43" i="4"/>
  <c r="O43" i="4"/>
  <c r="B43" i="4"/>
  <c r="F5" i="3" l="1"/>
  <c r="F8" i="3"/>
  <c r="F35" i="3"/>
  <c r="R43" i="4"/>
  <c r="F3" i="3"/>
  <c r="F36" i="3"/>
  <c r="F37" i="3" l="1"/>
</calcChain>
</file>

<file path=xl/sharedStrings.xml><?xml version="1.0" encoding="utf-8"?>
<sst xmlns="http://schemas.openxmlformats.org/spreadsheetml/2006/main" count="329" uniqueCount="62">
  <si>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</si>
  <si>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</si>
  <si>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</si>
  <si>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</si>
  <si>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</si>
  <si>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</si>
  <si>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</si>
  <si>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</si>
  <si>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</si>
  <si>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</si>
  <si>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</si>
  <si>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</si>
  <si>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</si>
  <si>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</si>
  <si>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</si>
  <si>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</si>
  <si>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</si>
  <si>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</si>
  <si>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</si>
  <si>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</si>
  <si>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</si>
  <si>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</si>
  <si>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</si>
  <si>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</si>
  <si>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</si>
  <si>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</si>
  <si>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</si>
  <si>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</si>
  <si>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</si>
  <si>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</si>
  <si>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</si>
  <si>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</si>
  <si>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</si>
  <si>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</si>
  <si>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</si>
  <si>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</si>
  <si>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</si>
  <si>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</si>
  <si>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</si>
  <si>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</si>
  <si>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</si>
  <si>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</si>
  <si>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</si>
  <si>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</si>
  <si>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</si>
  <si>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</si>
  <si>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</si>
  <si>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</si>
  <si>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</si>
  <si>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</si>
  <si>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</si>
  <si>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</si>
  <si>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</si>
  <si>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</si>
  <si>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</si>
  <si>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</si>
  <si>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</si>
  <si>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</si>
  <si>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 xml:space="preserve">Phụ thu đổi thẻ Zing </t>
  </si>
  <si>
    <t>Phụ thu đổi thẻ Zing</t>
  </si>
  <si>
    <t>Hồ Nhã Lan</t>
  </si>
  <si>
    <t>Nợ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</si>
</sst>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4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9" fontId="0" fillId="0" borderId="1" xfId="2" applyFont="1" applyBorder="1" applyAlignment="1">
      <alignment horizontal="center" vertical="center"/>
    </xf>
    <xf numFmtId="0" fontId="0" fillId="0" borderId="1" xfId="0" quotePrefix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3"/>
  <sheetViews>
    <sheetView tabSelected="1" topLeftCell="C16" zoomScaleNormal="100" workbookViewId="0">
      <selection activeCell="L26" sqref="L26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9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4" t="s">
        <v>20</v>
      </c>
      <c r="C5" s="1" t="s">
        <v>16</v>
      </c>
      <c r="D5" s="28">
        <v>200000</v>
      </c>
      <c r="E5" s="28">
        <f>40000</f>
        <v>40000</v>
      </c>
      <c r="F5" s="28">
        <f t="shared" ref="F5" si="2">(D5+I5)-E5</f>
        <v>160000</v>
      </c>
      <c r="G5" s="28">
        <v>0</v>
      </c>
      <c r="H5" s="29">
        <v>0</v>
      </c>
      <c r="I5" s="28">
        <f t="shared" ref="I5" si="3">D5*H5</f>
        <v>0</v>
      </c>
      <c r="J5" s="4">
        <v>46018</v>
      </c>
      <c r="K5" s="4">
        <v>46024</v>
      </c>
      <c r="L5" s="4"/>
      <c r="M5" s="1" t="s">
        <v>14</v>
      </c>
    </row>
    <row r="6" spans="1:17" x14ac:dyDescent="0.25">
      <c r="A6" s="1">
        <v>5</v>
      </c>
      <c r="B6" s="24" t="s">
        <v>20</v>
      </c>
      <c r="C6" s="1" t="s">
        <v>16</v>
      </c>
      <c r="D6" s="28">
        <v>100000</v>
      </c>
      <c r="E6" s="28">
        <v>0</v>
      </c>
      <c r="F6" s="28">
        <f t="shared" ref="F6" si="4">(D6+I6)-E6</f>
        <v>100000</v>
      </c>
      <c r="G6" s="28">
        <v>0</v>
      </c>
      <c r="H6" s="29">
        <v>0</v>
      </c>
      <c r="I6" s="28">
        <f t="shared" ref="I6" si="5">D6*H6</f>
        <v>0</v>
      </c>
      <c r="J6" s="4">
        <v>46019</v>
      </c>
      <c r="K6" s="4">
        <v>46025</v>
      </c>
      <c r="L6" s="4"/>
      <c r="M6" s="1" t="s">
        <v>14</v>
      </c>
    </row>
    <row r="7" spans="1:17" x14ac:dyDescent="0.25">
      <c r="A7" s="1">
        <v>6</v>
      </c>
      <c r="B7" s="24" t="s">
        <v>40</v>
      </c>
      <c r="C7" s="1" t="s">
        <v>3</v>
      </c>
      <c r="D7" s="28">
        <v>100000</v>
      </c>
      <c r="E7" s="28">
        <v>80000</v>
      </c>
      <c r="F7" s="28">
        <f t="shared" ref="F7" si="6">(D7+I7)-E7</f>
        <v>20000</v>
      </c>
      <c r="G7" s="28">
        <v>0</v>
      </c>
      <c r="H7" s="29">
        <v>0</v>
      </c>
      <c r="I7" s="28">
        <f t="shared" ref="I7" si="7">D7*H7</f>
        <v>0</v>
      </c>
      <c r="J7" s="4">
        <v>46019</v>
      </c>
      <c r="K7" s="4">
        <v>46025</v>
      </c>
      <c r="L7" s="4"/>
      <c r="M7" s="1" t="s">
        <v>14</v>
      </c>
    </row>
    <row r="8" spans="1:17" x14ac:dyDescent="0.25">
      <c r="A8" s="1">
        <v>7</v>
      </c>
      <c r="B8" s="24" t="s">
        <v>17</v>
      </c>
      <c r="C8" s="1" t="s">
        <v>57</v>
      </c>
      <c r="D8" s="28">
        <v>350000</v>
      </c>
      <c r="E8" s="28">
        <f>(240000-75000)+25000</f>
        <v>190000</v>
      </c>
      <c r="F8" s="28">
        <f t="shared" ref="F8" si="8">(D8+I8)-E8</f>
        <v>160000</v>
      </c>
      <c r="G8" s="28">
        <v>0</v>
      </c>
      <c r="H8" s="29">
        <v>0</v>
      </c>
      <c r="I8" s="28">
        <f t="shared" ref="I8" si="9">D8*H8</f>
        <v>0</v>
      </c>
      <c r="J8" s="4">
        <v>46020</v>
      </c>
      <c r="K8" s="4">
        <v>46026</v>
      </c>
      <c r="L8" s="4"/>
      <c r="M8" s="1" t="s">
        <v>14</v>
      </c>
    </row>
    <row r="9" spans="1:17" x14ac:dyDescent="0.25">
      <c r="A9" s="1">
        <v>8</v>
      </c>
      <c r="B9" s="24" t="s">
        <v>22</v>
      </c>
      <c r="C9" s="1" t="s">
        <v>3</v>
      </c>
      <c r="D9" s="28">
        <f>50000+50000+20000</f>
        <v>120000</v>
      </c>
      <c r="E9" s="28">
        <v>0</v>
      </c>
      <c r="F9" s="28">
        <f t="shared" ref="F9:F10" si="10">(D9+I9)-E9</f>
        <v>120000</v>
      </c>
      <c r="G9" s="28">
        <v>0</v>
      </c>
      <c r="H9" s="29">
        <v>0</v>
      </c>
      <c r="I9" s="28">
        <f t="shared" ref="I9:I10" si="11">D9*H9</f>
        <v>0</v>
      </c>
      <c r="J9" s="4">
        <v>46021</v>
      </c>
      <c r="K9" s="4">
        <v>46027</v>
      </c>
      <c r="L9" s="4"/>
      <c r="M9" s="1" t="s">
        <v>14</v>
      </c>
    </row>
    <row r="10" spans="1:17" x14ac:dyDescent="0.25">
      <c r="A10" s="1">
        <v>9</v>
      </c>
      <c r="B10" s="24" t="s">
        <v>22</v>
      </c>
      <c r="C10" s="1" t="s">
        <v>24</v>
      </c>
      <c r="D10" s="28">
        <v>50000</v>
      </c>
      <c r="E10" s="28">
        <v>0</v>
      </c>
      <c r="F10" s="28">
        <f t="shared" si="10"/>
        <v>50000</v>
      </c>
      <c r="G10" s="28">
        <v>0</v>
      </c>
      <c r="H10" s="29">
        <v>0</v>
      </c>
      <c r="I10" s="28">
        <f t="shared" si="11"/>
        <v>0</v>
      </c>
      <c r="J10" s="4">
        <v>46021</v>
      </c>
      <c r="K10" s="4">
        <v>46027</v>
      </c>
      <c r="L10" s="4"/>
      <c r="M10" s="1" t="s">
        <v>14</v>
      </c>
    </row>
    <row r="11" spans="1:17" x14ac:dyDescent="0.25">
      <c r="A11" s="1">
        <v>10</v>
      </c>
      <c r="B11" s="24" t="s">
        <v>22</v>
      </c>
      <c r="C11" s="39" t="s">
        <v>58</v>
      </c>
      <c r="D11" s="28">
        <v>12000</v>
      </c>
      <c r="E11" s="28">
        <v>0</v>
      </c>
      <c r="F11" s="28">
        <f t="shared" ref="F11" si="12">(D11+I11)-E11</f>
        <v>12000</v>
      </c>
      <c r="G11" s="28">
        <v>0</v>
      </c>
      <c r="H11" s="29">
        <v>0</v>
      </c>
      <c r="I11" s="28">
        <f t="shared" ref="I11" si="13">D11*H11</f>
        <v>0</v>
      </c>
      <c r="J11" s="4">
        <v>46021</v>
      </c>
      <c r="K11" s="4">
        <v>46027</v>
      </c>
      <c r="L11" s="4"/>
      <c r="M11" s="1" t="s">
        <v>14</v>
      </c>
    </row>
    <row r="12" spans="1:17" x14ac:dyDescent="0.25">
      <c r="A12" s="1">
        <v>11</v>
      </c>
      <c r="B12" s="24" t="s">
        <v>60</v>
      </c>
      <c r="C12" s="1" t="s">
        <v>61</v>
      </c>
      <c r="D12" s="28">
        <v>2000</v>
      </c>
      <c r="E12" s="28">
        <v>0</v>
      </c>
      <c r="F12" s="28">
        <f t="shared" ref="F12" si="14">(D12+I12)-E12</f>
        <v>2000</v>
      </c>
      <c r="G12" s="28">
        <v>0</v>
      </c>
      <c r="H12" s="29">
        <v>0</v>
      </c>
      <c r="I12" s="28">
        <f t="shared" ref="I12" si="15">D12*H12</f>
        <v>0</v>
      </c>
      <c r="J12" s="4">
        <v>46022</v>
      </c>
      <c r="K12" s="4">
        <v>46028</v>
      </c>
      <c r="L12" s="4"/>
      <c r="M12" s="1" t="s">
        <v>14</v>
      </c>
    </row>
    <row r="13" spans="1:17" x14ac:dyDescent="0.25">
      <c r="A13" s="1">
        <v>12</v>
      </c>
      <c r="B13" s="24" t="s">
        <v>45</v>
      </c>
      <c r="C13" s="1" t="s">
        <v>49</v>
      </c>
      <c r="D13" s="28">
        <v>20000</v>
      </c>
      <c r="E13" s="28">
        <v>0</v>
      </c>
      <c r="F13" s="28">
        <f t="shared" ref="F13" si="16">(D13+I13)-E13</f>
        <v>20000</v>
      </c>
      <c r="G13" s="28">
        <v>0</v>
      </c>
      <c r="H13" s="29">
        <v>0</v>
      </c>
      <c r="I13" s="28">
        <f t="shared" ref="I13" si="17">D13*H13</f>
        <v>0</v>
      </c>
      <c r="J13" s="4">
        <v>46022</v>
      </c>
      <c r="K13" s="4">
        <v>46028</v>
      </c>
      <c r="L13" s="4"/>
      <c r="M13" s="1" t="s">
        <v>14</v>
      </c>
    </row>
    <row r="14" spans="1:17" x14ac:dyDescent="0.25">
      <c r="A14" s="1">
        <v>13</v>
      </c>
      <c r="B14" s="24" t="s">
        <v>8</v>
      </c>
      <c r="C14" s="1" t="s">
        <v>3</v>
      </c>
      <c r="D14" s="28">
        <v>20000</v>
      </c>
      <c r="E14" s="28">
        <v>0</v>
      </c>
      <c r="F14" s="28">
        <f t="shared" ref="F14" si="18">(D14+I14)-E14</f>
        <v>20000</v>
      </c>
      <c r="G14" s="28">
        <v>0</v>
      </c>
      <c r="H14" s="29">
        <v>0</v>
      </c>
      <c r="I14" s="28">
        <f t="shared" ref="I14" si="19">D14*H14</f>
        <v>0</v>
      </c>
      <c r="J14" s="4">
        <v>46023</v>
      </c>
      <c r="K14" s="4">
        <v>46029</v>
      </c>
      <c r="L14" s="4"/>
      <c r="M14" s="1" t="s">
        <v>14</v>
      </c>
    </row>
    <row r="15" spans="1:17" x14ac:dyDescent="0.25">
      <c r="A15" s="1">
        <v>14</v>
      </c>
      <c r="B15" s="24" t="s">
        <v>21</v>
      </c>
      <c r="C15" s="1" t="s">
        <v>30</v>
      </c>
      <c r="D15" s="28">
        <v>100000</v>
      </c>
      <c r="E15" s="28">
        <v>0</v>
      </c>
      <c r="F15" s="28">
        <f t="shared" ref="F15" si="20">(D15+I15)-E15</f>
        <v>100000</v>
      </c>
      <c r="G15" s="28">
        <v>0</v>
      </c>
      <c r="H15" s="29">
        <v>0</v>
      </c>
      <c r="I15" s="28">
        <f t="shared" ref="I15" si="21">D15*H15</f>
        <v>0</v>
      </c>
      <c r="J15" s="4">
        <v>46023</v>
      </c>
      <c r="K15" s="4">
        <v>46029</v>
      </c>
      <c r="L15" s="4"/>
      <c r="M15" s="1" t="s">
        <v>14</v>
      </c>
    </row>
    <row r="16" spans="1:17" x14ac:dyDescent="0.25">
      <c r="A16" s="1">
        <v>15</v>
      </c>
      <c r="B16" s="24" t="s">
        <v>26</v>
      </c>
      <c r="C16" s="1" t="s">
        <v>30</v>
      </c>
      <c r="D16" s="28">
        <v>500000</v>
      </c>
      <c r="E16" s="28">
        <v>0</v>
      </c>
      <c r="F16" s="28">
        <f t="shared" ref="F16" si="22">(D16+I16)-E16</f>
        <v>500000</v>
      </c>
      <c r="G16" s="28">
        <v>0</v>
      </c>
      <c r="H16" s="29">
        <v>0</v>
      </c>
      <c r="I16" s="28">
        <f t="shared" ref="I16" si="23">D16*H16</f>
        <v>0</v>
      </c>
      <c r="J16" s="4">
        <v>46023</v>
      </c>
      <c r="K16" s="4">
        <v>46029</v>
      </c>
      <c r="L16" s="4"/>
      <c r="M16" s="1" t="s">
        <v>14</v>
      </c>
    </row>
    <row r="17" spans="1:13" x14ac:dyDescent="0.25">
      <c r="A17" s="1">
        <v>16</v>
      </c>
      <c r="B17" s="24" t="s">
        <v>26</v>
      </c>
      <c r="C17" s="1" t="s">
        <v>51</v>
      </c>
      <c r="D17" s="28">
        <v>20000</v>
      </c>
      <c r="E17" s="28">
        <v>0</v>
      </c>
      <c r="F17" s="28">
        <f t="shared" ref="F17" si="24">(D17+I17)-E17</f>
        <v>20000</v>
      </c>
      <c r="G17" s="28">
        <v>0</v>
      </c>
      <c r="H17" s="29">
        <v>0</v>
      </c>
      <c r="I17" s="28">
        <f t="shared" ref="I17" si="25">D17*H17</f>
        <v>0</v>
      </c>
      <c r="J17" s="4">
        <v>46023</v>
      </c>
      <c r="K17" s="4">
        <v>46029</v>
      </c>
      <c r="L17" s="4"/>
      <c r="M17" s="1" t="s">
        <v>14</v>
      </c>
    </row>
    <row r="18" spans="1:13" x14ac:dyDescent="0.25">
      <c r="A18" s="1">
        <v>17</v>
      </c>
      <c r="B18" s="24" t="s">
        <v>40</v>
      </c>
      <c r="C18" s="1" t="s">
        <v>3</v>
      </c>
      <c r="D18" s="28">
        <v>200000</v>
      </c>
      <c r="E18" s="28">
        <v>0</v>
      </c>
      <c r="F18" s="28">
        <f t="shared" ref="F18" si="26">(D18+I18)-E18</f>
        <v>200000</v>
      </c>
      <c r="G18" s="28">
        <v>0</v>
      </c>
      <c r="H18" s="29">
        <v>0</v>
      </c>
      <c r="I18" s="28">
        <f t="shared" ref="I18" si="27">D18*H18</f>
        <v>0</v>
      </c>
      <c r="J18" s="4">
        <v>46023</v>
      </c>
      <c r="K18" s="4">
        <v>46029</v>
      </c>
      <c r="L18" s="4"/>
      <c r="M18" s="1" t="s">
        <v>14</v>
      </c>
    </row>
    <row r="19" spans="1:13" x14ac:dyDescent="0.25">
      <c r="A19" s="1">
        <v>18</v>
      </c>
      <c r="B19" s="24" t="s">
        <v>21</v>
      </c>
      <c r="C19" s="1" t="s">
        <v>30</v>
      </c>
      <c r="D19" s="28">
        <v>15000</v>
      </c>
      <c r="E19" s="28">
        <v>0</v>
      </c>
      <c r="F19" s="28">
        <f t="shared" ref="F19" si="28">(D19+I19)-E19</f>
        <v>15000</v>
      </c>
      <c r="G19" s="28">
        <v>0</v>
      </c>
      <c r="H19" s="29">
        <v>0</v>
      </c>
      <c r="I19" s="28">
        <f t="shared" ref="I19" si="29">D19*H19</f>
        <v>0</v>
      </c>
      <c r="J19" s="4">
        <v>46023</v>
      </c>
      <c r="K19" s="4">
        <v>46029</v>
      </c>
      <c r="L19" s="4"/>
      <c r="M19" s="1" t="s">
        <v>14</v>
      </c>
    </row>
    <row r="20" spans="1:13" x14ac:dyDescent="0.25">
      <c r="A20" s="1">
        <v>19</v>
      </c>
      <c r="B20" s="24" t="s">
        <v>36</v>
      </c>
      <c r="C20" s="1" t="s">
        <v>30</v>
      </c>
      <c r="D20" s="28">
        <v>20000</v>
      </c>
      <c r="E20" s="28">
        <v>0</v>
      </c>
      <c r="F20" s="28">
        <f t="shared" ref="F20:F21" si="30">(D20+I20)-E20</f>
        <v>20000</v>
      </c>
      <c r="G20" s="28">
        <v>0</v>
      </c>
      <c r="H20" s="29">
        <v>0</v>
      </c>
      <c r="I20" s="28">
        <f t="shared" ref="I20:I21" si="31">D20*H20</f>
        <v>0</v>
      </c>
      <c r="J20" s="4">
        <v>46024</v>
      </c>
      <c r="K20" s="4">
        <v>46030</v>
      </c>
      <c r="L20" s="4"/>
      <c r="M20" s="1" t="s">
        <v>14</v>
      </c>
    </row>
    <row r="21" spans="1:13" x14ac:dyDescent="0.25">
      <c r="A21" s="1">
        <v>20</v>
      </c>
      <c r="B21" s="24" t="s">
        <v>17</v>
      </c>
      <c r="C21" s="1" t="s">
        <v>57</v>
      </c>
      <c r="D21" s="28">
        <v>75000</v>
      </c>
      <c r="E21" s="28">
        <v>0</v>
      </c>
      <c r="F21" s="28">
        <f t="shared" si="30"/>
        <v>75000</v>
      </c>
      <c r="G21" s="28">
        <v>0</v>
      </c>
      <c r="H21" s="29">
        <v>0</v>
      </c>
      <c r="I21" s="28">
        <f t="shared" si="31"/>
        <v>0</v>
      </c>
      <c r="J21" s="4">
        <v>46024</v>
      </c>
      <c r="K21" s="4">
        <v>46030</v>
      </c>
      <c r="L21" s="4"/>
      <c r="M21" s="1" t="s">
        <v>14</v>
      </c>
    </row>
    <row r="22" spans="1:13" x14ac:dyDescent="0.25">
      <c r="A22" s="1">
        <v>21</v>
      </c>
      <c r="B22" s="24" t="s">
        <v>42</v>
      </c>
      <c r="C22" s="1" t="s">
        <v>24</v>
      </c>
      <c r="D22" s="28">
        <v>20000</v>
      </c>
      <c r="E22" s="28">
        <v>0</v>
      </c>
      <c r="F22" s="28">
        <f t="shared" ref="F22:F23" si="32">(D22+I22)-E22</f>
        <v>20000</v>
      </c>
      <c r="G22" s="28">
        <v>0</v>
      </c>
      <c r="H22" s="29">
        <v>0</v>
      </c>
      <c r="I22" s="28">
        <f t="shared" ref="I22:I23" si="33">D22*H22</f>
        <v>0</v>
      </c>
      <c r="J22" s="4">
        <v>46024</v>
      </c>
      <c r="K22" s="4">
        <v>46030</v>
      </c>
      <c r="L22" s="4"/>
      <c r="M22" s="1" t="s">
        <v>14</v>
      </c>
    </row>
    <row r="23" spans="1:13" x14ac:dyDescent="0.25">
      <c r="A23" s="1">
        <v>22</v>
      </c>
      <c r="B23" s="24" t="s">
        <v>22</v>
      </c>
      <c r="C23" s="1" t="s">
        <v>3</v>
      </c>
      <c r="D23" s="28">
        <v>20000</v>
      </c>
      <c r="E23" s="28">
        <v>0</v>
      </c>
      <c r="F23" s="28">
        <f t="shared" si="32"/>
        <v>20000</v>
      </c>
      <c r="G23" s="28">
        <v>0</v>
      </c>
      <c r="H23" s="29">
        <v>0</v>
      </c>
      <c r="I23" s="28">
        <f t="shared" si="33"/>
        <v>0</v>
      </c>
      <c r="J23" s="4">
        <v>46024</v>
      </c>
      <c r="K23" s="4">
        <v>46030</v>
      </c>
      <c r="L23" s="4"/>
      <c r="M23" s="1" t="s">
        <v>14</v>
      </c>
    </row>
    <row r="24" spans="1:13" x14ac:dyDescent="0.25">
      <c r="A24" s="1">
        <v>23</v>
      </c>
      <c r="B24" s="40" t="s">
        <v>8</v>
      </c>
      <c r="C24" s="1" t="s">
        <v>3</v>
      </c>
      <c r="D24" s="28">
        <v>60000</v>
      </c>
      <c r="E24" s="28">
        <v>0</v>
      </c>
      <c r="F24" s="28">
        <f t="shared" ref="F24" si="34">(D24+I24)-E24</f>
        <v>60000</v>
      </c>
      <c r="G24" s="28">
        <v>0</v>
      </c>
      <c r="H24" s="29">
        <v>0</v>
      </c>
      <c r="I24" s="28">
        <f t="shared" ref="I24" si="35">D24*H24</f>
        <v>0</v>
      </c>
      <c r="J24" s="4">
        <v>46025</v>
      </c>
      <c r="K24" s="4">
        <v>46031</v>
      </c>
      <c r="L24" s="4"/>
      <c r="M24" s="1" t="s">
        <v>14</v>
      </c>
    </row>
    <row r="25" spans="1:13" x14ac:dyDescent="0.25">
      <c r="A25" s="1">
        <v>24</v>
      </c>
      <c r="B25" s="24"/>
      <c r="C25" s="1"/>
      <c r="D25" s="28"/>
      <c r="E25" s="28"/>
      <c r="F25" s="28"/>
      <c r="G25" s="28"/>
      <c r="H25" s="29"/>
      <c r="I25" s="28"/>
      <c r="J25" s="4"/>
      <c r="K25" s="4"/>
      <c r="L25" s="4"/>
      <c r="M25" s="1"/>
    </row>
    <row r="26" spans="1:13" x14ac:dyDescent="0.25">
      <c r="A26" s="1">
        <v>25</v>
      </c>
      <c r="B26" s="24"/>
      <c r="C26" s="1"/>
      <c r="D26" s="28"/>
      <c r="E26" s="28"/>
      <c r="F26" s="28"/>
      <c r="G26" s="28"/>
      <c r="H26" s="29"/>
      <c r="I26" s="28"/>
      <c r="J26" s="4"/>
      <c r="K26" s="4"/>
      <c r="L26" s="4"/>
      <c r="M26" s="1"/>
    </row>
    <row r="27" spans="1:13" x14ac:dyDescent="0.25">
      <c r="A27" s="1">
        <v>26</v>
      </c>
      <c r="B27" s="24"/>
      <c r="C27" s="1"/>
      <c r="D27" s="28"/>
      <c r="E27" s="28"/>
      <c r="F27" s="28"/>
      <c r="G27" s="28"/>
      <c r="H27" s="29"/>
      <c r="I27" s="28"/>
      <c r="J27" s="4"/>
      <c r="K27" s="4"/>
      <c r="L27" s="4"/>
      <c r="M27" s="1"/>
    </row>
    <row r="28" spans="1:13" x14ac:dyDescent="0.25">
      <c r="A28" s="1">
        <v>27</v>
      </c>
      <c r="B28" s="24"/>
      <c r="C28" s="1"/>
      <c r="D28" s="28"/>
      <c r="E28" s="28"/>
      <c r="F28" s="28"/>
      <c r="G28" s="28"/>
      <c r="H28" s="29"/>
      <c r="I28" s="28"/>
      <c r="J28" s="4"/>
      <c r="K28" s="4"/>
      <c r="L28" s="4"/>
      <c r="M28" s="1"/>
    </row>
    <row r="29" spans="1:13" x14ac:dyDescent="0.25">
      <c r="A29" s="1">
        <v>28</v>
      </c>
      <c r="B29" s="24"/>
      <c r="C29" s="1"/>
      <c r="D29" s="28"/>
      <c r="E29" s="28"/>
      <c r="F29" s="28"/>
      <c r="G29" s="28"/>
      <c r="H29" s="29"/>
      <c r="I29" s="28"/>
      <c r="J29" s="4"/>
      <c r="K29" s="4"/>
      <c r="L29" s="4"/>
      <c r="M29" s="1"/>
    </row>
    <row r="30" spans="1:13" x14ac:dyDescent="0.25">
      <c r="A30" s="1">
        <v>29</v>
      </c>
      <c r="B30" s="24"/>
      <c r="C30" s="1"/>
      <c r="D30" s="28"/>
      <c r="E30" s="28"/>
      <c r="F30" s="28"/>
      <c r="G30" s="28"/>
      <c r="H30" s="29"/>
      <c r="I30" s="28"/>
      <c r="J30" s="4"/>
      <c r="K30" s="4"/>
      <c r="L30" s="4"/>
      <c r="M30" s="1"/>
    </row>
    <row r="31" spans="1:13" x14ac:dyDescent="0.25">
      <c r="A31" s="1">
        <v>30</v>
      </c>
      <c r="B31" s="24"/>
      <c r="C31" s="1"/>
      <c r="D31" s="28"/>
      <c r="E31" s="28"/>
      <c r="F31" s="28"/>
      <c r="G31" s="28"/>
      <c r="H31" s="29"/>
      <c r="I31" s="28"/>
      <c r="J31" s="4"/>
      <c r="K31" s="4"/>
      <c r="L31" s="4"/>
      <c r="M31" s="1"/>
    </row>
    <row r="32" spans="1:13" x14ac:dyDescent="0.25">
      <c r="A32" s="1">
        <v>31</v>
      </c>
      <c r="B32" s="24"/>
      <c r="C32" s="1"/>
      <c r="D32" s="28"/>
      <c r="E32" s="28"/>
      <c r="F32" s="28"/>
      <c r="G32" s="28"/>
      <c r="H32" s="29"/>
      <c r="I32" s="28"/>
      <c r="J32" s="4"/>
      <c r="K32" s="4"/>
      <c r="L32" s="4"/>
      <c r="M32" s="1"/>
    </row>
    <row r="33" spans="1:13" x14ac:dyDescent="0.25">
      <c r="A33" s="1">
        <v>32</v>
      </c>
      <c r="B33" s="24"/>
      <c r="C33" s="1"/>
      <c r="D33" s="37"/>
      <c r="E33" s="37"/>
      <c r="F33" s="37"/>
      <c r="G33" s="37"/>
      <c r="H33" s="24"/>
      <c r="I33" s="37"/>
      <c r="J33" s="24"/>
      <c r="K33" s="38"/>
      <c r="L33" s="38"/>
      <c r="M33" s="24"/>
    </row>
    <row r="34" spans="1:13" ht="24" x14ac:dyDescent="0.25">
      <c r="B34" s="34" t="s">
        <v>33</v>
      </c>
      <c r="C34" s="34"/>
      <c r="D34" s="42" t="s">
        <v>34</v>
      </c>
      <c r="E34" s="42"/>
      <c r="F34" s="42"/>
      <c r="G34" s="42"/>
    </row>
    <row r="35" spans="1:13" x14ac:dyDescent="0.25">
      <c r="D35" s="41" t="s">
        <v>28</v>
      </c>
      <c r="E35" s="41"/>
      <c r="F35" s="35">
        <f>SUM(D2:D33)</f>
        <v>2414000</v>
      </c>
      <c r="G35" s="36"/>
      <c r="J35" s="36"/>
    </row>
    <row r="36" spans="1:13" x14ac:dyDescent="0.25">
      <c r="D36" s="41" t="s">
        <v>29</v>
      </c>
      <c r="E36" s="41"/>
      <c r="F36" s="35">
        <f>SUM(E2:E33)</f>
        <v>325000</v>
      </c>
      <c r="G36" s="36"/>
      <c r="M36" s="25" t="s">
        <v>41</v>
      </c>
    </row>
    <row r="37" spans="1:13" x14ac:dyDescent="0.25">
      <c r="D37" s="41" t="s">
        <v>27</v>
      </c>
      <c r="E37" s="41"/>
      <c r="F37" s="35">
        <f>-SUM(F2:F33)</f>
        <v>-2176500</v>
      </c>
      <c r="G37" s="36"/>
    </row>
    <row r="39" spans="1:13" x14ac:dyDescent="0.25">
      <c r="F39" s="36"/>
      <c r="G39" s="36"/>
    </row>
    <row r="40" spans="1:13" x14ac:dyDescent="0.25">
      <c r="F40" s="36"/>
      <c r="G40" s="36"/>
    </row>
    <row r="41" spans="1:13" x14ac:dyDescent="0.25">
      <c r="F41" s="36"/>
      <c r="G41" s="36"/>
    </row>
    <row r="42" spans="1:13" x14ac:dyDescent="0.25">
      <c r="F42" s="36"/>
    </row>
    <row r="43" spans="1:13" x14ac:dyDescent="0.25">
      <c r="F43" s="36"/>
    </row>
  </sheetData>
  <autoFilter ref="A1:M37" xr:uid="{B426C2E0-1FB2-4505-A56E-E149D9D304FF}"/>
  <mergeCells count="4">
    <mergeCell ref="D35:E35"/>
    <mergeCell ref="D36:E36"/>
    <mergeCell ref="D37:E37"/>
    <mergeCell ref="D34:G34"/>
  </mergeCells>
  <phoneticPr fontId="1" type="noConversion"/>
  <hyperlinks>
    <hyperlink ref="D34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50"/>
  <sheetViews>
    <sheetView topLeftCell="A125" workbookViewId="0">
      <selection activeCell="D140" sqref="D140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59</v>
      </c>
    </row>
    <row r="128" spans="1:4" ht="18.75" x14ac:dyDescent="0.25">
      <c r="A128" s="21">
        <v>46022</v>
      </c>
      <c r="B128" s="19" t="s">
        <v>45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/>
      <c r="B140" s="19"/>
      <c r="C140" s="20"/>
      <c r="D140" s="22"/>
    </row>
    <row r="141" spans="1:4" ht="18.75" x14ac:dyDescent="0.25">
      <c r="A141" s="21"/>
      <c r="B141" s="19"/>
      <c r="C141" s="20"/>
      <c r="D141" s="22"/>
    </row>
    <row r="142" spans="1:4" ht="18.75" x14ac:dyDescent="0.25">
      <c r="A142" s="21"/>
      <c r="B142" s="19"/>
      <c r="C142" s="20"/>
      <c r="D142" s="22"/>
    </row>
    <row r="143" spans="1:4" ht="18.75" x14ac:dyDescent="0.25">
      <c r="A143" s="21"/>
      <c r="B143" s="19"/>
      <c r="C143" s="20"/>
      <c r="D143" s="22"/>
    </row>
    <row r="144" spans="1:4" ht="18.75" x14ac:dyDescent="0.25">
      <c r="A144" s="21"/>
      <c r="B144" s="19"/>
      <c r="C144" s="20"/>
      <c r="D144" s="22"/>
    </row>
    <row r="145" spans="1:4" ht="18.75" x14ac:dyDescent="0.25">
      <c r="A145" s="21"/>
      <c r="B145" s="19"/>
      <c r="C145" s="20"/>
      <c r="D145" s="22"/>
    </row>
    <row r="146" spans="1:4" ht="18.75" x14ac:dyDescent="0.25">
      <c r="A146" s="21"/>
      <c r="B146" s="19"/>
      <c r="C146" s="20"/>
      <c r="D146" s="22"/>
    </row>
    <row r="147" spans="1:4" ht="18.75" x14ac:dyDescent="0.25">
      <c r="A147" s="21"/>
      <c r="B147" s="19"/>
      <c r="C147" s="20"/>
      <c r="D147" s="22"/>
    </row>
    <row r="148" spans="1:4" ht="18.75" x14ac:dyDescent="0.25">
      <c r="A148" s="21"/>
      <c r="B148" s="19"/>
      <c r="C148" s="20"/>
      <c r="D148" s="22"/>
    </row>
    <row r="149" spans="1:4" ht="18.75" x14ac:dyDescent="0.25">
      <c r="A149" s="21"/>
      <c r="B149" s="19"/>
      <c r="C149" s="20"/>
      <c r="D149" s="22"/>
    </row>
    <row r="150" spans="1:4" ht="18.75" x14ac:dyDescent="0.25">
      <c r="A150" s="21"/>
      <c r="B150" s="19"/>
      <c r="C150" s="20"/>
      <c r="D15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2026-01-03T13:00:14Z</dcterms:modified>
</cp:coreProperties>
</file>