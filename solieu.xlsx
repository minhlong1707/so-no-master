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5F954D2A-6C06-4B74-A7A7-6BA717CF13BC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NỢ'!$A$1:$M$30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3" l="1"/>
  <c r="I22" i="3"/>
  <c r="F23" i="3"/>
  <c r="I23" i="3"/>
  <c r="F20" i="3"/>
  <c r="I20" i="3"/>
  <c r="F21" i="3"/>
  <c r="I21" i="3"/>
  <c r="F19" i="3"/>
  <c r="I19" i="3"/>
  <c r="I18" i="3"/>
  <c r="F18" i="3" s="1"/>
  <c r="I17" i="3"/>
  <c r="F17" i="3" s="1"/>
  <c r="I16" i="3"/>
  <c r="F16" i="3" s="1"/>
  <c r="I15" i="3"/>
  <c r="F15" i="3" s="1"/>
  <c r="I14" i="3"/>
  <c r="F14" i="3" s="1"/>
  <c r="I13" i="3"/>
  <c r="F13" i="3" s="1"/>
  <c r="E8" i="3"/>
  <c r="I12" i="3"/>
  <c r="F12" i="3" s="1"/>
  <c r="I11" i="3"/>
  <c r="F11" i="3" s="1"/>
  <c r="E5" i="3"/>
  <c r="I10" i="3"/>
  <c r="F10" i="3" s="1"/>
  <c r="D9" i="3"/>
  <c r="I9" i="3" s="1"/>
  <c r="F9" i="3" s="1"/>
  <c r="D3" i="3"/>
  <c r="I3" i="3" s="1"/>
  <c r="I8" i="3"/>
  <c r="I7" i="3"/>
  <c r="F7" i="3" s="1"/>
  <c r="I6" i="3"/>
  <c r="F6" i="3" s="1"/>
  <c r="I5" i="3"/>
  <c r="E3" i="3"/>
  <c r="U43" i="4"/>
  <c r="T43" i="4"/>
  <c r="R26" i="4"/>
  <c r="R25" i="4"/>
  <c r="R19" i="4"/>
  <c r="R8" i="4"/>
  <c r="G20" i="4"/>
  <c r="G43" i="4" s="1"/>
  <c r="F10" i="4"/>
  <c r="E16" i="4"/>
  <c r="C43" i="4"/>
  <c r="I2" i="3"/>
  <c r="F2" i="3" s="1"/>
  <c r="D43" i="4"/>
  <c r="Q43" i="4"/>
  <c r="K43" i="4"/>
  <c r="S43" i="4"/>
  <c r="J43" i="4"/>
  <c r="E43" i="4"/>
  <c r="P43" i="4"/>
  <c r="F43" i="4"/>
  <c r="I4" i="3"/>
  <c r="F4" i="3" s="1"/>
  <c r="H43" i="4"/>
  <c r="I43" i="4"/>
  <c r="L43" i="4"/>
  <c r="M43" i="4"/>
  <c r="N43" i="4"/>
  <c r="O43" i="4"/>
  <c r="B43" i="4"/>
  <c r="F5" i="3" l="1"/>
  <c r="F8" i="3"/>
  <c r="F28" i="3"/>
  <c r="R43" i="4"/>
  <c r="F3" i="3"/>
  <c r="F29" i="3"/>
  <c r="F30" i="3" l="1"/>
</calcChain>
</file>

<file path=xl/sharedStrings.xml><?xml version="1.0" encoding="utf-8"?>
<sst xmlns="http://schemas.openxmlformats.org/spreadsheetml/2006/main" count="325" uniqueCount="63">
  <si>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</si>
  <si>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</si>
  <si>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</si>
  <si>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</si>
  <si>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</si>
  <si>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</si>
  <si>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</si>
  <si>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</si>
  <si>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</si>
  <si>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</si>
  <si>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</si>
  <si>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</si>
  <si>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</si>
  <si>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</si>
  <si>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</si>
  <si>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</si>
  <si>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</si>
  <si>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</si>
  <si>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</si>
  <si>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</si>
  <si>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</si>
  <si>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</si>
  <si>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</si>
  <si>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</si>
  <si>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</si>
  <si>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</si>
  <si>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</si>
  <si>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</si>
  <si>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</si>
  <si>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</si>
  <si>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</si>
  <si>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</si>
  <si>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</si>
  <si>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</si>
  <si>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</si>
  <si>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</si>
  <si>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</si>
  <si>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</si>
  <si>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</si>
  <si>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</si>
  <si>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</si>
  <si>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</si>
  <si>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</si>
  <si>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</si>
  <si>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</si>
  <si>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</si>
  <si>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</si>
  <si>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</si>
  <si>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</si>
  <si>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</si>
  <si>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</si>
  <si>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</si>
  <si>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</si>
  <si>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</si>
  <si>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</si>
  <si>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</si>
  <si>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</si>
  <si>
    <t>Nạp sò</t>
  </si>
  <si>
    <t xml:space="preserve">Phụ thu đổi thẻ Zing </t>
  </si>
  <si>
    <t>Phụ thu đổi thẻ Zing</t>
  </si>
  <si>
    <t>Hồ Nhã Lan</t>
  </si>
  <si>
    <t>Nợ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</si>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</sst>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8" fillId="0" borderId="0" applyFont="0" applyFill="0" applyBorder="0" applyAlignment="0" applyProtection="0"/>
  </cellStyleXfs>
  <cellXfs count="4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9" fontId="0" fillId="0" borderId="1" xfId="2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  <xf numFmtId="0" fontId="0" fillId="0" borderId="1" xfId="0" quotePrefix="1" applyBorder="1" applyAlignment="1">
      <alignment vertical="center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36"/>
  <sheetViews>
    <sheetView tabSelected="1" topLeftCell="C7" zoomScaleNormal="100" workbookViewId="0">
      <selection activeCell="F26" sqref="F26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9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9.140625" style="25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437500</v>
      </c>
      <c r="G2" s="32">
        <v>0</v>
      </c>
      <c r="H2" s="33">
        <v>0.25</v>
      </c>
      <c r="I2" s="32">
        <f>(D2*H2)</f>
        <v>87500</v>
      </c>
      <c r="J2" s="16">
        <v>45984</v>
      </c>
      <c r="K2" s="16">
        <v>46025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f>20000+10000</f>
        <v>30000</v>
      </c>
      <c r="E3" s="30">
        <f>10000+5000</f>
        <v>15000</v>
      </c>
      <c r="F3" s="30">
        <f t="shared" ref="F3" si="0">(D3+I3)-E3</f>
        <v>15000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6" t="s">
        <v>17</v>
      </c>
      <c r="C4" s="7" t="s">
        <v>30</v>
      </c>
      <c r="D4" s="30">
        <v>30000</v>
      </c>
      <c r="E4" s="30">
        <v>0</v>
      </c>
      <c r="F4" s="30">
        <f>(D4+I4)-E4</f>
        <v>30000</v>
      </c>
      <c r="G4" s="30">
        <v>0</v>
      </c>
      <c r="H4" s="31">
        <v>0</v>
      </c>
      <c r="I4" s="30">
        <f>D4*H4</f>
        <v>0</v>
      </c>
      <c r="J4" s="8">
        <v>45987</v>
      </c>
      <c r="K4" s="8"/>
      <c r="L4" s="8"/>
      <c r="M4" s="7" t="s">
        <v>14</v>
      </c>
    </row>
    <row r="5" spans="1:17" x14ac:dyDescent="0.25">
      <c r="A5" s="1">
        <v>4</v>
      </c>
      <c r="B5" s="24" t="s">
        <v>20</v>
      </c>
      <c r="C5" s="1" t="s">
        <v>16</v>
      </c>
      <c r="D5" s="28">
        <v>200000</v>
      </c>
      <c r="E5" s="28">
        <f>40000</f>
        <v>40000</v>
      </c>
      <c r="F5" s="28">
        <f t="shared" ref="F5" si="2">(D5+I5)-E5</f>
        <v>160000</v>
      </c>
      <c r="G5" s="28">
        <v>0</v>
      </c>
      <c r="H5" s="29">
        <v>0</v>
      </c>
      <c r="I5" s="28">
        <f t="shared" ref="I5" si="3">D5*H5</f>
        <v>0</v>
      </c>
      <c r="J5" s="4">
        <v>46018</v>
      </c>
      <c r="K5" s="4">
        <v>46024</v>
      </c>
      <c r="L5" s="4"/>
      <c r="M5" s="1" t="s">
        <v>14</v>
      </c>
    </row>
    <row r="6" spans="1:17" x14ac:dyDescent="0.25">
      <c r="A6" s="1">
        <v>5</v>
      </c>
      <c r="B6" s="24" t="s">
        <v>20</v>
      </c>
      <c r="C6" s="1" t="s">
        <v>16</v>
      </c>
      <c r="D6" s="28">
        <v>100000</v>
      </c>
      <c r="E6" s="28">
        <v>0</v>
      </c>
      <c r="F6" s="28">
        <f t="shared" ref="F6" si="4">(D6+I6)-E6</f>
        <v>100000</v>
      </c>
      <c r="G6" s="28">
        <v>0</v>
      </c>
      <c r="H6" s="29">
        <v>0</v>
      </c>
      <c r="I6" s="28">
        <f t="shared" ref="I6" si="5">D6*H6</f>
        <v>0</v>
      </c>
      <c r="J6" s="4">
        <v>46019</v>
      </c>
      <c r="K6" s="4">
        <v>46025</v>
      </c>
      <c r="L6" s="4"/>
      <c r="M6" s="1" t="s">
        <v>14</v>
      </c>
    </row>
    <row r="7" spans="1:17" x14ac:dyDescent="0.25">
      <c r="A7" s="1">
        <v>6</v>
      </c>
      <c r="B7" s="24" t="s">
        <v>40</v>
      </c>
      <c r="C7" s="1" t="s">
        <v>3</v>
      </c>
      <c r="D7" s="28">
        <v>100000</v>
      </c>
      <c r="E7" s="28">
        <v>80000</v>
      </c>
      <c r="F7" s="28">
        <f t="shared" ref="F7" si="6">(D7+I7)-E7</f>
        <v>20000</v>
      </c>
      <c r="G7" s="28">
        <v>0</v>
      </c>
      <c r="H7" s="29">
        <v>0</v>
      </c>
      <c r="I7" s="28">
        <f t="shared" ref="I7" si="7">D7*H7</f>
        <v>0</v>
      </c>
      <c r="J7" s="4">
        <v>46019</v>
      </c>
      <c r="K7" s="4">
        <v>46025</v>
      </c>
      <c r="L7" s="4"/>
      <c r="M7" s="1" t="s">
        <v>14</v>
      </c>
    </row>
    <row r="8" spans="1:17" x14ac:dyDescent="0.25">
      <c r="A8" s="1">
        <v>7</v>
      </c>
      <c r="B8" s="24" t="s">
        <v>17</v>
      </c>
      <c r="C8" s="1" t="s">
        <v>57</v>
      </c>
      <c r="D8" s="28">
        <v>350000</v>
      </c>
      <c r="E8" s="28">
        <f>(240000-75000)+25000</f>
        <v>190000</v>
      </c>
      <c r="F8" s="28">
        <f t="shared" ref="F8" si="8">(D8+I8)-E8</f>
        <v>160000</v>
      </c>
      <c r="G8" s="28">
        <v>0</v>
      </c>
      <c r="H8" s="29">
        <v>0</v>
      </c>
      <c r="I8" s="28">
        <f t="shared" ref="I8" si="9">D8*H8</f>
        <v>0</v>
      </c>
      <c r="J8" s="4">
        <v>46020</v>
      </c>
      <c r="K8" s="4">
        <v>46026</v>
      </c>
      <c r="L8" s="4"/>
      <c r="M8" s="1" t="s">
        <v>14</v>
      </c>
    </row>
    <row r="9" spans="1:17" x14ac:dyDescent="0.25">
      <c r="A9" s="1">
        <v>8</v>
      </c>
      <c r="B9" s="24" t="s">
        <v>22</v>
      </c>
      <c r="C9" s="1" t="s">
        <v>3</v>
      </c>
      <c r="D9" s="28">
        <f>50000+50000+20000</f>
        <v>120000</v>
      </c>
      <c r="E9" s="28">
        <v>0</v>
      </c>
      <c r="F9" s="28">
        <f t="shared" ref="F9:F10" si="10">(D9+I9)-E9</f>
        <v>120000</v>
      </c>
      <c r="G9" s="28">
        <v>0</v>
      </c>
      <c r="H9" s="29">
        <v>0</v>
      </c>
      <c r="I9" s="28">
        <f t="shared" ref="I9:I10" si="11">D9*H9</f>
        <v>0</v>
      </c>
      <c r="J9" s="4">
        <v>46021</v>
      </c>
      <c r="K9" s="4">
        <v>46027</v>
      </c>
      <c r="L9" s="4"/>
      <c r="M9" s="1" t="s">
        <v>14</v>
      </c>
    </row>
    <row r="10" spans="1:17" x14ac:dyDescent="0.25">
      <c r="A10" s="1">
        <v>9</v>
      </c>
      <c r="B10" s="24" t="s">
        <v>22</v>
      </c>
      <c r="C10" s="1" t="s">
        <v>24</v>
      </c>
      <c r="D10" s="28">
        <v>50000</v>
      </c>
      <c r="E10" s="28">
        <v>0</v>
      </c>
      <c r="F10" s="28">
        <f t="shared" si="10"/>
        <v>50000</v>
      </c>
      <c r="G10" s="28">
        <v>0</v>
      </c>
      <c r="H10" s="29">
        <v>0</v>
      </c>
      <c r="I10" s="28">
        <f t="shared" si="11"/>
        <v>0</v>
      </c>
      <c r="J10" s="4">
        <v>46021</v>
      </c>
      <c r="K10" s="4">
        <v>46027</v>
      </c>
      <c r="L10" s="4"/>
      <c r="M10" s="1" t="s">
        <v>14</v>
      </c>
    </row>
    <row r="11" spans="1:17" x14ac:dyDescent="0.25">
      <c r="A11" s="1">
        <v>10</v>
      </c>
      <c r="B11" s="24" t="s">
        <v>22</v>
      </c>
      <c r="C11" s="39" t="s">
        <v>58</v>
      </c>
      <c r="D11" s="28">
        <v>12000</v>
      </c>
      <c r="E11" s="28">
        <v>0</v>
      </c>
      <c r="F11" s="28">
        <f t="shared" ref="F11" si="12">(D11+I11)-E11</f>
        <v>12000</v>
      </c>
      <c r="G11" s="28">
        <v>0</v>
      </c>
      <c r="H11" s="29">
        <v>0</v>
      </c>
      <c r="I11" s="28">
        <f t="shared" ref="I11" si="13">D11*H11</f>
        <v>0</v>
      </c>
      <c r="J11" s="4">
        <v>46021</v>
      </c>
      <c r="K11" s="4">
        <v>46027</v>
      </c>
      <c r="L11" s="4"/>
      <c r="M11" s="1" t="s">
        <v>14</v>
      </c>
    </row>
    <row r="12" spans="1:17" x14ac:dyDescent="0.25">
      <c r="A12" s="1">
        <v>11</v>
      </c>
      <c r="B12" s="24" t="s">
        <v>60</v>
      </c>
      <c r="C12" s="1" t="s">
        <v>61</v>
      </c>
      <c r="D12" s="28">
        <v>2000</v>
      </c>
      <c r="E12" s="28">
        <v>0</v>
      </c>
      <c r="F12" s="28">
        <f t="shared" ref="F12" si="14">(D12+I12)-E12</f>
        <v>2000</v>
      </c>
      <c r="G12" s="28">
        <v>0</v>
      </c>
      <c r="H12" s="29">
        <v>0</v>
      </c>
      <c r="I12" s="28">
        <f t="shared" ref="I12" si="15">D12*H12</f>
        <v>0</v>
      </c>
      <c r="J12" s="4">
        <v>46022</v>
      </c>
      <c r="K12" s="4">
        <v>46028</v>
      </c>
      <c r="L12" s="4"/>
      <c r="M12" s="1" t="s">
        <v>14</v>
      </c>
    </row>
    <row r="13" spans="1:17" x14ac:dyDescent="0.25">
      <c r="A13" s="1">
        <v>12</v>
      </c>
      <c r="B13" s="24" t="s">
        <v>45</v>
      </c>
      <c r="C13" s="1" t="s">
        <v>49</v>
      </c>
      <c r="D13" s="28">
        <v>20000</v>
      </c>
      <c r="E13" s="28">
        <v>0</v>
      </c>
      <c r="F13" s="28">
        <f t="shared" ref="F13" si="16">(D13+I13)-E13</f>
        <v>20000</v>
      </c>
      <c r="G13" s="28">
        <v>0</v>
      </c>
      <c r="H13" s="29">
        <v>0</v>
      </c>
      <c r="I13" s="28">
        <f t="shared" ref="I13" si="17">D13*H13</f>
        <v>0</v>
      </c>
      <c r="J13" s="4">
        <v>46022</v>
      </c>
      <c r="K13" s="4">
        <v>46028</v>
      </c>
      <c r="L13" s="4"/>
      <c r="M13" s="1" t="s">
        <v>14</v>
      </c>
    </row>
    <row r="14" spans="1:17" x14ac:dyDescent="0.25">
      <c r="A14" s="1">
        <v>13</v>
      </c>
      <c r="B14" s="24" t="s">
        <v>8</v>
      </c>
      <c r="C14" s="1" t="s">
        <v>3</v>
      </c>
      <c r="D14" s="28">
        <v>20000</v>
      </c>
      <c r="E14" s="28">
        <v>0</v>
      </c>
      <c r="F14" s="28">
        <f t="shared" ref="F14" si="18">(D14+I14)-E14</f>
        <v>20000</v>
      </c>
      <c r="G14" s="28">
        <v>0</v>
      </c>
      <c r="H14" s="29">
        <v>0</v>
      </c>
      <c r="I14" s="28">
        <f t="shared" ref="I14" si="19">D14*H14</f>
        <v>0</v>
      </c>
      <c r="J14" s="4">
        <v>46023</v>
      </c>
      <c r="K14" s="4">
        <v>46029</v>
      </c>
      <c r="L14" s="4"/>
      <c r="M14" s="1" t="s">
        <v>14</v>
      </c>
    </row>
    <row r="15" spans="1:17" x14ac:dyDescent="0.25">
      <c r="A15" s="1">
        <v>14</v>
      </c>
      <c r="B15" s="24" t="s">
        <v>21</v>
      </c>
      <c r="C15" s="1" t="s">
        <v>30</v>
      </c>
      <c r="D15" s="28">
        <v>100000</v>
      </c>
      <c r="E15" s="28">
        <v>0</v>
      </c>
      <c r="F15" s="28">
        <f t="shared" ref="F15" si="20">(D15+I15)-E15</f>
        <v>100000</v>
      </c>
      <c r="G15" s="28">
        <v>0</v>
      </c>
      <c r="H15" s="29">
        <v>0</v>
      </c>
      <c r="I15" s="28">
        <f t="shared" ref="I15" si="21">D15*H15</f>
        <v>0</v>
      </c>
      <c r="J15" s="4">
        <v>46023</v>
      </c>
      <c r="K15" s="4">
        <v>46029</v>
      </c>
      <c r="L15" s="4"/>
      <c r="M15" s="1" t="s">
        <v>14</v>
      </c>
    </row>
    <row r="16" spans="1:17" x14ac:dyDescent="0.25">
      <c r="A16" s="1">
        <v>15</v>
      </c>
      <c r="B16" s="24" t="s">
        <v>26</v>
      </c>
      <c r="C16" s="1" t="s">
        <v>30</v>
      </c>
      <c r="D16" s="28">
        <v>500000</v>
      </c>
      <c r="E16" s="28">
        <v>0</v>
      </c>
      <c r="F16" s="28">
        <f t="shared" ref="F16" si="22">(D16+I16)-E16</f>
        <v>500000</v>
      </c>
      <c r="G16" s="28">
        <v>0</v>
      </c>
      <c r="H16" s="29">
        <v>0</v>
      </c>
      <c r="I16" s="28">
        <f t="shared" ref="I16" si="23">D16*H16</f>
        <v>0</v>
      </c>
      <c r="J16" s="4">
        <v>46023</v>
      </c>
      <c r="K16" s="4">
        <v>46029</v>
      </c>
      <c r="L16" s="4"/>
      <c r="M16" s="1" t="s">
        <v>14</v>
      </c>
    </row>
    <row r="17" spans="1:13" x14ac:dyDescent="0.25">
      <c r="A17" s="1">
        <v>16</v>
      </c>
      <c r="B17" s="24" t="s">
        <v>26</v>
      </c>
      <c r="C17" s="1" t="s">
        <v>51</v>
      </c>
      <c r="D17" s="28">
        <v>20000</v>
      </c>
      <c r="E17" s="28">
        <v>0</v>
      </c>
      <c r="F17" s="28">
        <f t="shared" ref="F17" si="24">(D17+I17)-E17</f>
        <v>20000</v>
      </c>
      <c r="G17" s="28">
        <v>0</v>
      </c>
      <c r="H17" s="29">
        <v>0</v>
      </c>
      <c r="I17" s="28">
        <f t="shared" ref="I17" si="25">D17*H17</f>
        <v>0</v>
      </c>
      <c r="J17" s="4">
        <v>46023</v>
      </c>
      <c r="K17" s="4">
        <v>46029</v>
      </c>
      <c r="L17" s="4"/>
      <c r="M17" s="1" t="s">
        <v>14</v>
      </c>
    </row>
    <row r="18" spans="1:13" x14ac:dyDescent="0.25">
      <c r="A18" s="1">
        <v>17</v>
      </c>
      <c r="B18" s="24" t="s">
        <v>40</v>
      </c>
      <c r="C18" s="1" t="s">
        <v>3</v>
      </c>
      <c r="D18" s="28">
        <v>200000</v>
      </c>
      <c r="E18" s="28">
        <v>0</v>
      </c>
      <c r="F18" s="28">
        <f t="shared" ref="F18" si="26">(D18+I18)-E18</f>
        <v>200000</v>
      </c>
      <c r="G18" s="28">
        <v>0</v>
      </c>
      <c r="H18" s="29">
        <v>0</v>
      </c>
      <c r="I18" s="28">
        <f t="shared" ref="I18" si="27">D18*H18</f>
        <v>0</v>
      </c>
      <c r="J18" s="4">
        <v>46023</v>
      </c>
      <c r="K18" s="4">
        <v>46029</v>
      </c>
      <c r="L18" s="4"/>
      <c r="M18" s="1" t="s">
        <v>14</v>
      </c>
    </row>
    <row r="19" spans="1:13" x14ac:dyDescent="0.25">
      <c r="A19" s="1">
        <v>18</v>
      </c>
      <c r="B19" s="24" t="s">
        <v>21</v>
      </c>
      <c r="C19" s="1" t="s">
        <v>30</v>
      </c>
      <c r="D19" s="28">
        <v>15000</v>
      </c>
      <c r="E19" s="28">
        <v>0</v>
      </c>
      <c r="F19" s="28">
        <f t="shared" ref="F19" si="28">(D19+I19)-E19</f>
        <v>15000</v>
      </c>
      <c r="G19" s="28">
        <v>0</v>
      </c>
      <c r="H19" s="29">
        <v>0</v>
      </c>
      <c r="I19" s="28">
        <f t="shared" ref="I19" si="29">D19*H19</f>
        <v>0</v>
      </c>
      <c r="J19" s="4">
        <v>46023</v>
      </c>
      <c r="K19" s="4">
        <v>46029</v>
      </c>
      <c r="L19" s="4"/>
      <c r="M19" s="1" t="s">
        <v>14</v>
      </c>
    </row>
    <row r="20" spans="1:13" x14ac:dyDescent="0.25">
      <c r="A20" s="1">
        <v>19</v>
      </c>
      <c r="B20" s="24" t="s">
        <v>36</v>
      </c>
      <c r="C20" s="1" t="s">
        <v>30</v>
      </c>
      <c r="D20" s="28">
        <v>20000</v>
      </c>
      <c r="E20" s="28">
        <v>0</v>
      </c>
      <c r="F20" s="28">
        <f t="shared" ref="F20:F21" si="30">(D20+I20)-E20</f>
        <v>20000</v>
      </c>
      <c r="G20" s="28">
        <v>0</v>
      </c>
      <c r="H20" s="29">
        <v>0</v>
      </c>
      <c r="I20" s="28">
        <f t="shared" ref="I20:I21" si="31">D20*H20</f>
        <v>0</v>
      </c>
      <c r="J20" s="4">
        <v>46024</v>
      </c>
      <c r="K20" s="4">
        <v>46030</v>
      </c>
      <c r="L20" s="4"/>
      <c r="M20" s="1" t="s">
        <v>14</v>
      </c>
    </row>
    <row r="21" spans="1:13" x14ac:dyDescent="0.25">
      <c r="A21" s="1">
        <v>20</v>
      </c>
      <c r="B21" s="24" t="s">
        <v>17</v>
      </c>
      <c r="C21" s="1" t="s">
        <v>57</v>
      </c>
      <c r="D21" s="28">
        <v>75000</v>
      </c>
      <c r="E21" s="28">
        <v>0</v>
      </c>
      <c r="F21" s="28">
        <f t="shared" si="30"/>
        <v>75000</v>
      </c>
      <c r="G21" s="28">
        <v>0</v>
      </c>
      <c r="H21" s="29">
        <v>0</v>
      </c>
      <c r="I21" s="28">
        <f t="shared" si="31"/>
        <v>0</v>
      </c>
      <c r="J21" s="4">
        <v>46024</v>
      </c>
      <c r="K21" s="4">
        <v>46030</v>
      </c>
      <c r="L21" s="4"/>
      <c r="M21" s="1" t="s">
        <v>14</v>
      </c>
    </row>
    <row r="22" spans="1:13" x14ac:dyDescent="0.25">
      <c r="A22" s="1">
        <v>21</v>
      </c>
      <c r="B22" s="24" t="s">
        <v>42</v>
      </c>
      <c r="C22" s="1" t="s">
        <v>24</v>
      </c>
      <c r="D22" s="28">
        <v>20000</v>
      </c>
      <c r="E22" s="28">
        <v>0</v>
      </c>
      <c r="F22" s="28">
        <f t="shared" ref="F22:F23" si="32">(D22+I22)-E22</f>
        <v>20000</v>
      </c>
      <c r="G22" s="28">
        <v>0</v>
      </c>
      <c r="H22" s="29">
        <v>0</v>
      </c>
      <c r="I22" s="28">
        <f t="shared" ref="I22:I23" si="33">D22*H22</f>
        <v>0</v>
      </c>
      <c r="J22" s="4">
        <v>46024</v>
      </c>
      <c r="K22" s="4">
        <v>46030</v>
      </c>
      <c r="L22" s="4"/>
      <c r="M22" s="1" t="s">
        <v>14</v>
      </c>
    </row>
    <row r="23" spans="1:13" x14ac:dyDescent="0.25">
      <c r="A23" s="1">
        <v>22</v>
      </c>
      <c r="B23" s="24" t="s">
        <v>22</v>
      </c>
      <c r="C23" s="1" t="s">
        <v>3</v>
      </c>
      <c r="D23" s="28">
        <v>20000</v>
      </c>
      <c r="E23" s="28">
        <v>0</v>
      </c>
      <c r="F23" s="28">
        <f t="shared" si="32"/>
        <v>20000</v>
      </c>
      <c r="G23" s="28">
        <v>0</v>
      </c>
      <c r="H23" s="29">
        <v>0</v>
      </c>
      <c r="I23" s="28">
        <f t="shared" si="33"/>
        <v>0</v>
      </c>
      <c r="J23" s="4">
        <v>46024</v>
      </c>
      <c r="K23" s="4">
        <v>46030</v>
      </c>
      <c r="L23" s="4"/>
      <c r="M23" s="1" t="s">
        <v>14</v>
      </c>
    </row>
    <row r="24" spans="1:13" x14ac:dyDescent="0.25">
      <c r="A24" s="1">
        <v>23</v>
      </c>
      <c r="B24" s="42" t="s">
        <v>62</v>
      </c>
      <c r="C24" s="1"/>
      <c r="D24" s="28"/>
      <c r="E24" s="28"/>
      <c r="F24" s="28"/>
      <c r="G24" s="28"/>
      <c r="H24" s="29"/>
      <c r="I24" s="28"/>
      <c r="J24" s="4"/>
      <c r="K24" s="4"/>
      <c r="L24" s="4"/>
      <c r="M24" s="1"/>
    </row>
    <row r="25" spans="1:13" x14ac:dyDescent="0.25">
      <c r="A25" s="1">
        <v>24</v>
      </c>
      <c r="B25" s="24"/>
      <c r="C25" s="1"/>
      <c r="D25" s="28"/>
      <c r="E25" s="28"/>
      <c r="F25" s="28"/>
      <c r="G25" s="28"/>
      <c r="H25" s="29"/>
      <c r="I25" s="28"/>
      <c r="J25" s="4"/>
      <c r="K25" s="4"/>
      <c r="L25" s="4"/>
      <c r="M25" s="1"/>
    </row>
    <row r="26" spans="1:13" x14ac:dyDescent="0.25">
      <c r="A26" s="1">
        <v>25</v>
      </c>
      <c r="B26" s="24"/>
      <c r="C26" s="1"/>
      <c r="D26" s="37"/>
      <c r="E26" s="37"/>
      <c r="F26" s="37"/>
      <c r="G26" s="37"/>
      <c r="H26" s="24"/>
      <c r="I26" s="37"/>
      <c r="J26" s="24"/>
      <c r="K26" s="38"/>
      <c r="L26" s="38"/>
      <c r="M26" s="24"/>
    </row>
    <row r="27" spans="1:13" ht="24" x14ac:dyDescent="0.25">
      <c r="B27" s="34" t="s">
        <v>33</v>
      </c>
      <c r="C27" s="34"/>
      <c r="D27" s="41" t="s">
        <v>34</v>
      </c>
      <c r="E27" s="41"/>
      <c r="F27" s="41"/>
      <c r="G27" s="41"/>
    </row>
    <row r="28" spans="1:13" x14ac:dyDescent="0.25">
      <c r="D28" s="40" t="s">
        <v>28</v>
      </c>
      <c r="E28" s="40"/>
      <c r="F28" s="35">
        <f>SUM(D2:D26)</f>
        <v>2354000</v>
      </c>
      <c r="G28" s="36"/>
      <c r="J28" s="36"/>
    </row>
    <row r="29" spans="1:13" x14ac:dyDescent="0.25">
      <c r="D29" s="40" t="s">
        <v>29</v>
      </c>
      <c r="E29" s="40"/>
      <c r="F29" s="35">
        <f>SUM(E2:E26)</f>
        <v>325000</v>
      </c>
      <c r="G29" s="36"/>
      <c r="M29" s="25" t="s">
        <v>41</v>
      </c>
    </row>
    <row r="30" spans="1:13" x14ac:dyDescent="0.25">
      <c r="D30" s="40" t="s">
        <v>27</v>
      </c>
      <c r="E30" s="40"/>
      <c r="F30" s="35">
        <f>-SUM(F2:F26)</f>
        <v>-2116500</v>
      </c>
      <c r="G30" s="36"/>
    </row>
    <row r="32" spans="1:13" x14ac:dyDescent="0.25">
      <c r="F32" s="36"/>
      <c r="G32" s="36"/>
    </row>
    <row r="33" spans="6:7" x14ac:dyDescent="0.25">
      <c r="F33" s="36"/>
      <c r="G33" s="36"/>
    </row>
    <row r="34" spans="6:7" x14ac:dyDescent="0.25">
      <c r="F34" s="36"/>
      <c r="G34" s="36"/>
    </row>
    <row r="35" spans="6:7" x14ac:dyDescent="0.25">
      <c r="F35" s="36"/>
    </row>
    <row r="36" spans="6:7" x14ac:dyDescent="0.25">
      <c r="F36" s="36"/>
    </row>
  </sheetData>
  <autoFilter ref="A1:M30" xr:uid="{B426C2E0-1FB2-4505-A56E-E149D9D304FF}"/>
  <mergeCells count="4">
    <mergeCell ref="D28:E28"/>
    <mergeCell ref="D29:E29"/>
    <mergeCell ref="D30:E30"/>
    <mergeCell ref="D27:G27"/>
  </mergeCells>
  <phoneticPr fontId="1" type="noConversion"/>
  <hyperlinks>
    <hyperlink ref="D27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150"/>
  <sheetViews>
    <sheetView topLeftCell="A125" workbookViewId="0">
      <selection activeCell="A139" sqref="A139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3.28515625" style="23" bestFit="1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55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51</v>
      </c>
    </row>
    <row r="111" spans="1:4" ht="18.75" x14ac:dyDescent="0.25">
      <c r="A111" s="21">
        <v>46018</v>
      </c>
      <c r="B111" s="19" t="s">
        <v>56</v>
      </c>
      <c r="C111" s="20">
        <v>20000</v>
      </c>
      <c r="D111" s="22" t="s">
        <v>3</v>
      </c>
    </row>
    <row r="112" spans="1:4" ht="18.75" x14ac:dyDescent="0.25">
      <c r="A112" s="21">
        <v>46018</v>
      </c>
      <c r="B112" s="19" t="s">
        <v>20</v>
      </c>
      <c r="C112" s="20">
        <v>20000</v>
      </c>
      <c r="D112" s="22" t="s">
        <v>3</v>
      </c>
    </row>
    <row r="113" spans="1:4" ht="18.75" x14ac:dyDescent="0.25">
      <c r="A113" s="21">
        <v>46018</v>
      </c>
      <c r="B113" s="19" t="s">
        <v>20</v>
      </c>
      <c r="C113" s="20">
        <v>200000</v>
      </c>
      <c r="D113" s="22" t="s">
        <v>16</v>
      </c>
    </row>
    <row r="114" spans="1:4" ht="18.75" x14ac:dyDescent="0.25">
      <c r="A114" s="21">
        <v>46019</v>
      </c>
      <c r="B114" s="19" t="s">
        <v>20</v>
      </c>
      <c r="C114" s="20">
        <v>100000</v>
      </c>
      <c r="D114" s="22" t="s">
        <v>16</v>
      </c>
    </row>
    <row r="115" spans="1:4" ht="18.75" x14ac:dyDescent="0.25">
      <c r="A115" s="21">
        <v>46019</v>
      </c>
      <c r="B115" s="19" t="s">
        <v>40</v>
      </c>
      <c r="C115" s="20">
        <v>100000</v>
      </c>
      <c r="D115" s="22" t="s">
        <v>3</v>
      </c>
    </row>
    <row r="116" spans="1:4" ht="18.75" x14ac:dyDescent="0.25">
      <c r="A116" s="21">
        <v>46019</v>
      </c>
      <c r="B116" s="19" t="s">
        <v>17</v>
      </c>
      <c r="C116" s="20">
        <v>75000</v>
      </c>
      <c r="D116" s="22" t="s">
        <v>30</v>
      </c>
    </row>
    <row r="117" spans="1:4" ht="18.75" x14ac:dyDescent="0.25">
      <c r="A117" s="21">
        <v>46019</v>
      </c>
      <c r="B117" s="19" t="s">
        <v>39</v>
      </c>
      <c r="C117" s="20">
        <v>100000</v>
      </c>
      <c r="D117" s="22" t="s">
        <v>51</v>
      </c>
    </row>
    <row r="118" spans="1:4" ht="18.75" x14ac:dyDescent="0.25">
      <c r="A118" s="21">
        <v>46020</v>
      </c>
      <c r="B118" s="19" t="s">
        <v>19</v>
      </c>
      <c r="C118" s="20">
        <v>50000</v>
      </c>
      <c r="D118" s="22" t="s">
        <v>16</v>
      </c>
    </row>
    <row r="119" spans="1:4" ht="18.75" x14ac:dyDescent="0.25">
      <c r="A119" s="21">
        <v>46020</v>
      </c>
      <c r="B119" s="19" t="s">
        <v>17</v>
      </c>
      <c r="C119" s="20">
        <v>350000</v>
      </c>
      <c r="D119" s="22" t="s">
        <v>57</v>
      </c>
    </row>
    <row r="120" spans="1:4" ht="18.75" x14ac:dyDescent="0.25">
      <c r="A120" s="21">
        <v>46020</v>
      </c>
      <c r="B120" s="19" t="s">
        <v>26</v>
      </c>
      <c r="C120" s="20">
        <v>350000</v>
      </c>
      <c r="D120" s="22" t="s">
        <v>30</v>
      </c>
    </row>
    <row r="121" spans="1:4" ht="18.75" x14ac:dyDescent="0.25">
      <c r="A121" s="21">
        <v>46021</v>
      </c>
      <c r="B121" s="19" t="s">
        <v>22</v>
      </c>
      <c r="C121" s="20">
        <v>50000</v>
      </c>
      <c r="D121" s="22" t="s">
        <v>3</v>
      </c>
    </row>
    <row r="122" spans="1:4" ht="18.75" x14ac:dyDescent="0.25">
      <c r="A122" s="21">
        <v>46021</v>
      </c>
      <c r="B122" s="19" t="s">
        <v>22</v>
      </c>
      <c r="C122" s="20">
        <v>50000</v>
      </c>
      <c r="D122" s="22" t="s">
        <v>3</v>
      </c>
    </row>
    <row r="123" spans="1:4" ht="18.75" x14ac:dyDescent="0.25">
      <c r="A123" s="21">
        <v>46021</v>
      </c>
      <c r="B123" s="19" t="s">
        <v>22</v>
      </c>
      <c r="C123" s="20">
        <v>20000</v>
      </c>
      <c r="D123" s="22" t="s">
        <v>3</v>
      </c>
    </row>
    <row r="124" spans="1:4" ht="18.75" x14ac:dyDescent="0.25">
      <c r="A124" s="21">
        <v>46021</v>
      </c>
      <c r="B124" s="19" t="s">
        <v>22</v>
      </c>
      <c r="C124" s="20">
        <v>50000</v>
      </c>
      <c r="D124" s="22" t="s">
        <v>24</v>
      </c>
    </row>
    <row r="125" spans="1:4" ht="18.75" x14ac:dyDescent="0.25">
      <c r="A125" s="21">
        <v>46021</v>
      </c>
      <c r="B125" s="19" t="s">
        <v>25</v>
      </c>
      <c r="C125" s="20">
        <v>100000</v>
      </c>
      <c r="D125" s="22" t="s">
        <v>57</v>
      </c>
    </row>
    <row r="126" spans="1:4" ht="18.75" x14ac:dyDescent="0.25">
      <c r="A126" s="21">
        <v>46021</v>
      </c>
      <c r="B126" s="19" t="s">
        <v>26</v>
      </c>
      <c r="C126" s="20">
        <v>50000</v>
      </c>
      <c r="D126" s="22" t="s">
        <v>51</v>
      </c>
    </row>
    <row r="127" spans="1:4" ht="18.75" x14ac:dyDescent="0.25">
      <c r="A127" s="21">
        <v>46021</v>
      </c>
      <c r="B127" s="19" t="s">
        <v>22</v>
      </c>
      <c r="C127" s="20">
        <v>12000</v>
      </c>
      <c r="D127" s="22" t="s">
        <v>59</v>
      </c>
    </row>
    <row r="128" spans="1:4" ht="18.75" x14ac:dyDescent="0.25">
      <c r="A128" s="21">
        <v>46022</v>
      </c>
      <c r="B128" s="19" t="s">
        <v>45</v>
      </c>
      <c r="C128" s="20">
        <v>20000</v>
      </c>
      <c r="D128" s="22" t="s">
        <v>49</v>
      </c>
    </row>
    <row r="129" spans="1:4" ht="18.75" x14ac:dyDescent="0.25">
      <c r="A129" s="21">
        <v>46023</v>
      </c>
      <c r="B129" s="19" t="s">
        <v>8</v>
      </c>
      <c r="C129" s="20">
        <v>20000</v>
      </c>
      <c r="D129" s="22" t="s">
        <v>3</v>
      </c>
    </row>
    <row r="130" spans="1:4" ht="18.75" x14ac:dyDescent="0.25">
      <c r="A130" s="21">
        <v>46023</v>
      </c>
      <c r="B130" s="19" t="s">
        <v>26</v>
      </c>
      <c r="C130" s="20">
        <v>500000</v>
      </c>
      <c r="D130" s="22" t="s">
        <v>30</v>
      </c>
    </row>
    <row r="131" spans="1:4" ht="18.75" x14ac:dyDescent="0.25">
      <c r="A131" s="21">
        <v>46023</v>
      </c>
      <c r="B131" s="19" t="s">
        <v>26</v>
      </c>
      <c r="C131" s="20">
        <v>20000</v>
      </c>
      <c r="D131" s="22" t="s">
        <v>43</v>
      </c>
    </row>
    <row r="132" spans="1:4" ht="18.75" x14ac:dyDescent="0.25">
      <c r="A132" s="21">
        <v>46023</v>
      </c>
      <c r="B132" s="19" t="s">
        <v>40</v>
      </c>
      <c r="C132" s="20">
        <v>200000</v>
      </c>
      <c r="D132" s="22" t="s">
        <v>3</v>
      </c>
    </row>
    <row r="133" spans="1:4" ht="18.75" x14ac:dyDescent="0.25">
      <c r="A133" s="21">
        <v>46023</v>
      </c>
      <c r="B133" s="19" t="s">
        <v>21</v>
      </c>
      <c r="C133" s="20">
        <v>100000</v>
      </c>
      <c r="D133" s="22" t="s">
        <v>30</v>
      </c>
    </row>
    <row r="134" spans="1:4" ht="18.75" x14ac:dyDescent="0.25">
      <c r="A134" s="21">
        <v>46023</v>
      </c>
      <c r="B134" s="19" t="s">
        <v>21</v>
      </c>
      <c r="C134" s="20">
        <v>15000</v>
      </c>
      <c r="D134" s="22" t="s">
        <v>30</v>
      </c>
    </row>
    <row r="135" spans="1:4" ht="18.75" x14ac:dyDescent="0.25">
      <c r="A135" s="21">
        <v>46024</v>
      </c>
      <c r="B135" s="19" t="s">
        <v>36</v>
      </c>
      <c r="C135" s="20">
        <v>20000</v>
      </c>
      <c r="D135" s="22" t="s">
        <v>30</v>
      </c>
    </row>
    <row r="136" spans="1:4" ht="18.75" x14ac:dyDescent="0.25">
      <c r="A136" s="21">
        <v>46024</v>
      </c>
      <c r="B136" s="19" t="s">
        <v>17</v>
      </c>
      <c r="C136" s="20">
        <v>75000</v>
      </c>
      <c r="D136" s="22" t="s">
        <v>57</v>
      </c>
    </row>
    <row r="137" spans="1:4" ht="18.75" x14ac:dyDescent="0.25">
      <c r="A137" s="21">
        <v>46024</v>
      </c>
      <c r="B137" s="19" t="s">
        <v>42</v>
      </c>
      <c r="C137" s="20">
        <v>20000</v>
      </c>
      <c r="D137" s="22" t="s">
        <v>24</v>
      </c>
    </row>
    <row r="138" spans="1:4" ht="18.75" x14ac:dyDescent="0.25">
      <c r="A138" s="21">
        <v>46024</v>
      </c>
      <c r="B138" s="19" t="s">
        <v>22</v>
      </c>
      <c r="C138" s="20">
        <v>20000</v>
      </c>
      <c r="D138" s="22" t="s">
        <v>3</v>
      </c>
    </row>
    <row r="139" spans="1:4" ht="18.75" x14ac:dyDescent="0.25">
      <c r="A139" s="21"/>
      <c r="B139" s="19"/>
      <c r="C139" s="20"/>
      <c r="D139" s="22"/>
    </row>
    <row r="140" spans="1:4" ht="18.75" x14ac:dyDescent="0.25">
      <c r="A140" s="21"/>
      <c r="B140" s="19"/>
      <c r="C140" s="20"/>
      <c r="D140" s="22"/>
    </row>
    <row r="141" spans="1:4" ht="18.75" x14ac:dyDescent="0.25">
      <c r="A141" s="21"/>
      <c r="B141" s="19"/>
      <c r="C141" s="20"/>
      <c r="D141" s="22"/>
    </row>
    <row r="142" spans="1:4" ht="18.75" x14ac:dyDescent="0.25">
      <c r="A142" s="21"/>
      <c r="B142" s="19"/>
      <c r="C142" s="20"/>
      <c r="D142" s="22"/>
    </row>
    <row r="143" spans="1:4" ht="18.75" x14ac:dyDescent="0.25">
      <c r="A143" s="21"/>
      <c r="B143" s="19"/>
      <c r="C143" s="20"/>
      <c r="D143" s="22"/>
    </row>
    <row r="144" spans="1:4" ht="18.75" x14ac:dyDescent="0.25">
      <c r="A144" s="21"/>
      <c r="B144" s="19"/>
      <c r="C144" s="20"/>
      <c r="D144" s="22"/>
    </row>
    <row r="145" spans="1:4" ht="18.75" x14ac:dyDescent="0.25">
      <c r="A145" s="21"/>
      <c r="B145" s="19"/>
      <c r="C145" s="20"/>
      <c r="D145" s="22"/>
    </row>
    <row r="146" spans="1:4" ht="18.75" x14ac:dyDescent="0.25">
      <c r="A146" s="21"/>
      <c r="B146" s="19"/>
      <c r="C146" s="20"/>
      <c r="D146" s="22"/>
    </row>
    <row r="147" spans="1:4" ht="18.75" x14ac:dyDescent="0.25">
      <c r="A147" s="21"/>
      <c r="B147" s="19"/>
      <c r="C147" s="20"/>
      <c r="D147" s="22"/>
    </row>
    <row r="148" spans="1:4" ht="18.75" x14ac:dyDescent="0.25">
      <c r="A148" s="21"/>
      <c r="B148" s="19"/>
      <c r="C148" s="20"/>
      <c r="D148" s="22"/>
    </row>
    <row r="149" spans="1:4" ht="18.75" x14ac:dyDescent="0.25">
      <c r="A149" s="21"/>
      <c r="B149" s="19"/>
      <c r="C149" s="20"/>
      <c r="D149" s="22"/>
    </row>
    <row r="150" spans="1:4" ht="18.75" x14ac:dyDescent="0.25">
      <c r="A150" s="21"/>
      <c r="B150" s="19"/>
      <c r="C150" s="20"/>
      <c r="D150" s="22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2026-01-02T16:50:47Z</dcterms:modified>
</cp:coreProperties>
</file>